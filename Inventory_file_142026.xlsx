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1f329882f0ee6e/Desktop/SN/"/>
    </mc:Choice>
  </mc:AlternateContent>
  <xr:revisionPtr revIDLastSave="3" documentId="8_{825904DD-35AE-4B70-9644-6052BA748667}" xr6:coauthVersionLast="47" xr6:coauthVersionMax="47" xr10:uidLastSave="{92D24175-C8F1-4C3A-9A55-E56A6ED4ADC4}"/>
  <bookViews>
    <workbookView xWindow="-108" yWindow="-108" windowWidth="23256" windowHeight="12456" xr2:uid="{73C41BFD-0A9E-43B0-8A55-8A9A2C1FE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5" i="1" l="1"/>
  <c r="N114" i="1"/>
  <c r="N108" i="1"/>
  <c r="N107" i="1"/>
  <c r="N102" i="1"/>
  <c r="N101" i="1"/>
  <c r="N98" i="1"/>
  <c r="N97" i="1"/>
  <c r="N89" i="1"/>
  <c r="N88" i="1"/>
  <c r="N72" i="1"/>
  <c r="N69" i="1"/>
  <c r="N68" i="1"/>
  <c r="N48" i="1"/>
  <c r="N47" i="1"/>
  <c r="N39" i="1"/>
  <c r="N38" i="1"/>
  <c r="N30" i="1"/>
  <c r="N29" i="1"/>
  <c r="N26" i="1"/>
</calcChain>
</file>

<file path=xl/sharedStrings.xml><?xml version="1.0" encoding="utf-8"?>
<sst xmlns="http://schemas.openxmlformats.org/spreadsheetml/2006/main" count="812" uniqueCount="297">
  <si>
    <t>SN Part Number</t>
  </si>
  <si>
    <t>Description</t>
  </si>
  <si>
    <t>Make</t>
  </si>
  <si>
    <t>Model</t>
  </si>
  <si>
    <t>Master Category</t>
  </si>
  <si>
    <t>Sub Category</t>
  </si>
  <si>
    <t>From Year</t>
  </si>
  <si>
    <t>To Year</t>
  </si>
  <si>
    <t>QTY Ordered</t>
  </si>
  <si>
    <t>SN10.1998-ITL</t>
  </si>
  <si>
    <t>Tail Light Assembly Inner LH - (98-00)</t>
  </si>
  <si>
    <t>HONDA</t>
  </si>
  <si>
    <t xml:space="preserve">ACCORD </t>
  </si>
  <si>
    <t xml:space="preserve">Lighting </t>
  </si>
  <si>
    <t>Tail Lights</t>
  </si>
  <si>
    <t>SN10.1998-ITR</t>
  </si>
  <si>
    <t>Tail Light Assembly Inner RH - (98-00)</t>
  </si>
  <si>
    <t>SN10.1998-ITKT</t>
  </si>
  <si>
    <t>Tail Light Assembly Inner LH/RH - (98-00)</t>
  </si>
  <si>
    <t>SN10.1998-OTL</t>
  </si>
  <si>
    <t>Tail Light Assembly Outer LH - (98-00)</t>
  </si>
  <si>
    <t>SN10.1998-OTR</t>
  </si>
  <si>
    <t>Tail Light Assembly Outer RH - (98-00)</t>
  </si>
  <si>
    <t>SN10.1998-OTKT</t>
  </si>
  <si>
    <t>Tail Light Assembly Outer LH/RH -(98-00)</t>
  </si>
  <si>
    <t>SN11.2801-FBR</t>
  </si>
  <si>
    <t>Acura MDX Front Bumper Reinforcement</t>
  </si>
  <si>
    <t>ACURA</t>
  </si>
  <si>
    <t>MDX</t>
  </si>
  <si>
    <t>Exterior</t>
  </si>
  <si>
    <t>Bumpers &amp; Components</t>
  </si>
  <si>
    <t>SN14.2801-EGS</t>
  </si>
  <si>
    <t>Acura MDX Front Plastic Engine Splash Sheild</t>
  </si>
  <si>
    <t>Cooling</t>
  </si>
  <si>
    <t>Radiators &amp; Components</t>
  </si>
  <si>
    <t>SN14.2801-FRDS</t>
  </si>
  <si>
    <t xml:space="preserve">Acura MDX Front Radiator Support </t>
  </si>
  <si>
    <t>SN10.1901-ITL</t>
  </si>
  <si>
    <t>Tail Light Assembly Inner LH - (01-02)</t>
  </si>
  <si>
    <t>ACCORD</t>
  </si>
  <si>
    <t>SN10.1901-ITR</t>
  </si>
  <si>
    <t>Tail Light Assembly Inner RH - (01-02)</t>
  </si>
  <si>
    <t>SN10.1901-ITKT</t>
  </si>
  <si>
    <t>Tail Light Assembly Inner LH/RH -(01-02)</t>
  </si>
  <si>
    <t>SN10.1901-OTL</t>
  </si>
  <si>
    <t>Tail Light Assembly Outer LH - (01-02)</t>
  </si>
  <si>
    <t>SN10.1901-OTR</t>
  </si>
  <si>
    <t>Tail Light Assembly Outer RH - (01-02)</t>
  </si>
  <si>
    <t>SN10.1901-OTKT</t>
  </si>
  <si>
    <t>Tail Light Assembly Outer LH/RH - (01-02)</t>
  </si>
  <si>
    <t>SN11.1802-FBCL</t>
  </si>
  <si>
    <t>Crv Front Bumper Cover Spacer LH</t>
  </si>
  <si>
    <t>CR-V</t>
  </si>
  <si>
    <t>SN11.1802-FBCR</t>
  </si>
  <si>
    <t>Crv Front Bumper Cover Spacer RH</t>
  </si>
  <si>
    <t>SN10.1802-FDWM</t>
  </si>
  <si>
    <t>Crv Front Driver Side Wheel Opening Moulding</t>
  </si>
  <si>
    <t>Fenders &amp; Components</t>
  </si>
  <si>
    <t>SN10.1802-FPWM</t>
  </si>
  <si>
    <t>Crv Front Passenger Side Wheel Opening Moulding</t>
  </si>
  <si>
    <t>SN10.1802-FWMK</t>
  </si>
  <si>
    <t>Crv Front Wheel Opening Moudling Driver/Passenger</t>
  </si>
  <si>
    <t>SN10.1802-RDWM</t>
  </si>
  <si>
    <t>Crv Rear Driver Side Wheel Opening Moulding</t>
  </si>
  <si>
    <t>SN10.1802-RPWM</t>
  </si>
  <si>
    <t>Crv Rear Passenger Side Wheel Opening Moulding</t>
  </si>
  <si>
    <t>SN10.1802-RWMK</t>
  </si>
  <si>
    <t>Crv Rear  Wheel Opening Moulding Driver/Passenger</t>
  </si>
  <si>
    <t>SN10.1802-WMK</t>
  </si>
  <si>
    <t>Crv Wheel Opening Moulding Front+Rear Driver/Passenger</t>
  </si>
  <si>
    <t>SN10.1802-FL</t>
  </si>
  <si>
    <t>Fog Light Assembly (Wo Bezel) LH - (02-06)</t>
  </si>
  <si>
    <t>Fog Lights</t>
  </si>
  <si>
    <t>SN10.1802-FR</t>
  </si>
  <si>
    <t>Fog Light Assembly  (Wo Bezel) RH - (02-06)</t>
  </si>
  <si>
    <t>SN10.1802-FKT</t>
  </si>
  <si>
    <t>Fog Light Assembly (Wo Bezel) LH/RH - (02-06)</t>
  </si>
  <si>
    <t>SN10.1802-HL</t>
  </si>
  <si>
    <t>Headlight Assembly LH - (02-04)</t>
  </si>
  <si>
    <t>Headlights</t>
  </si>
  <si>
    <t>SN10.1802-HR</t>
  </si>
  <si>
    <t>Headlight Assembly RH - (02-04)</t>
  </si>
  <si>
    <t>SN10.1802-HKT</t>
  </si>
  <si>
    <t>Headlight Assembly LH/RH (02-04)</t>
  </si>
  <si>
    <t>SN11.1903-FDBR</t>
  </si>
  <si>
    <t>03 Accord  Front Driver Side Bumper Retainer</t>
  </si>
  <si>
    <t>SN11.1903-FPBR</t>
  </si>
  <si>
    <t>03 Accord  Front Passenger Side Bumper Retainer</t>
  </si>
  <si>
    <t>SN11.1903-FBRK</t>
  </si>
  <si>
    <t>03 Accord Front Bumper Retainer LH/RH</t>
  </si>
  <si>
    <t>SN11.1903-LDSB</t>
  </si>
  <si>
    <t>Accord Left Driver Side Bumper Bracket</t>
  </si>
  <si>
    <t>SN11.1903-RDSB</t>
  </si>
  <si>
    <t>Accord Right Passenger Side Bumper Bracket</t>
  </si>
  <si>
    <t>SN11.1903-SBKT</t>
  </si>
  <si>
    <t>Accord Side Bumper Bracket LH/RH</t>
  </si>
  <si>
    <t>SN10.1805-HL</t>
  </si>
  <si>
    <t>Headlight  Assembly (Japan Built) LH - (05-06)</t>
  </si>
  <si>
    <t>SN10.1805-HR</t>
  </si>
  <si>
    <t>Headlight Assembly (Japan Built) RH - (05-06)</t>
  </si>
  <si>
    <t>SN10.1805-HKT</t>
  </si>
  <si>
    <t>Headlight Assembly (Japan Built)LH/RH -(05-06)</t>
  </si>
  <si>
    <t>SN12.1805-GL</t>
  </si>
  <si>
    <t>CR-V Inner Grille</t>
  </si>
  <si>
    <t>Grilles &amp; Components</t>
  </si>
  <si>
    <t>SN10.1706-HL</t>
  </si>
  <si>
    <t>Headlight Assembly (Except Hybrid) LH - (06-08)</t>
  </si>
  <si>
    <t xml:space="preserve">CIVIC </t>
  </si>
  <si>
    <t>SN10.1706-HR</t>
  </si>
  <si>
    <t>Headlight Assembly (Except Hybrid) RH - (06-08)</t>
  </si>
  <si>
    <t>SN10.1706-HKT</t>
  </si>
  <si>
    <t>Headlight Assembly (Except Hybrid) LH/RH - (06-08)</t>
  </si>
  <si>
    <t>CIVIC</t>
  </si>
  <si>
    <t>SN11.1706-LDSB</t>
  </si>
  <si>
    <t>Civic Front Driver Side Bumper Bracket</t>
  </si>
  <si>
    <t>SN11.1706-RDSB</t>
  </si>
  <si>
    <t>Civic Front Passenger Side Bumper Bracket</t>
  </si>
  <si>
    <t>SN10.1706-OTL</t>
  </si>
  <si>
    <t>Tail Light  Assembly Outer (Sd/Hybrid) LH - (06-08)</t>
  </si>
  <si>
    <t>SN10.1706-OTR</t>
  </si>
  <si>
    <t>Tail Light  Assembly Outer (Sd/Hybrid) RH - (06-08)</t>
  </si>
  <si>
    <t>SN10.1706-OTKT</t>
  </si>
  <si>
    <t>Tail Light  Assembly Outer (Sd/Hybrid) LH/RH - (06-08)</t>
  </si>
  <si>
    <t>SN14.1706-RDS</t>
  </si>
  <si>
    <t>Civic Radiator Support Cover</t>
  </si>
  <si>
    <t>SN10.1906-OTL</t>
  </si>
  <si>
    <t>Tail Light Assembly Outer (wo LED) LH - (06-07)</t>
  </si>
  <si>
    <t>SN10.1906-OTR</t>
  </si>
  <si>
    <t>Tail Light Assembly Outer (wo LED) RH - (06-07)</t>
  </si>
  <si>
    <t>SN10.1906-OTKT</t>
  </si>
  <si>
    <t>Tail Light Assembly Outer (wo LED) LH/RH - (06-07)</t>
  </si>
  <si>
    <t>SN10.1906-OTL**</t>
  </si>
  <si>
    <t>Tail Light Assembly Outer (w/LED) LH - (06-07)</t>
  </si>
  <si>
    <t>SN10.1906-OTR**</t>
  </si>
  <si>
    <t>Tail Light Assembly Outer (w/LED) RH - (06-07)</t>
  </si>
  <si>
    <t>SN10.1906-OTKT**</t>
  </si>
  <si>
    <t>Tail Light Assembly Outer (w/LED) LH/RH - (06-07)</t>
  </si>
  <si>
    <t>SN11.1906-RBCR</t>
  </si>
  <si>
    <t>Accord Rear Passenger Side Bumper Cover Spacer</t>
  </si>
  <si>
    <t>SN14.2807-FRDC</t>
  </si>
  <si>
    <t>Acura MDX Front Radiator Support Cover</t>
  </si>
  <si>
    <t>SN11.1807-FDBC</t>
  </si>
  <si>
    <t>Crv Front Driver Side Bumper Cover</t>
  </si>
  <si>
    <t>SN11.1807-FPBC</t>
  </si>
  <si>
    <t>Crv Front Passenger Side Bumper Cover</t>
  </si>
  <si>
    <t>SN11.1807-FBCKT</t>
  </si>
  <si>
    <t>Crv Front Driver/ Passenger Side Bumper Cover</t>
  </si>
  <si>
    <t>SN10.1807-FL</t>
  </si>
  <si>
    <t>Fog Light Assembly LH - (07-09)</t>
  </si>
  <si>
    <t>SN10.1807-FR</t>
  </si>
  <si>
    <t>Fog Light Assembly RH - (07-09)</t>
  </si>
  <si>
    <t>SN10.1807-FKT</t>
  </si>
  <si>
    <t>Fog Light Assembly LH/RH - (07-09)</t>
  </si>
  <si>
    <t>SN10.1807-HL</t>
  </si>
  <si>
    <t>Headlight Assembly LH - (07-11)</t>
  </si>
  <si>
    <t>SN10.1807-HR</t>
  </si>
  <si>
    <t>Headlight Assembly RH - (07-11)</t>
  </si>
  <si>
    <t>SN10.1807-HKT</t>
  </si>
  <si>
    <t>Headlight Assembly LH/RH -(07-11)</t>
  </si>
  <si>
    <t>SN10.1807-TL</t>
  </si>
  <si>
    <t>Tail Light Assembly LH - (07-11)</t>
  </si>
  <si>
    <t>SN10.1807-TR</t>
  </si>
  <si>
    <t>Tail Light Assembly RH - (07-11)</t>
  </si>
  <si>
    <t>SN10.1807-TKT</t>
  </si>
  <si>
    <t>Tail Light Assembly LH/RH - (07-11)</t>
  </si>
  <si>
    <t>SN12.1908-GL</t>
  </si>
  <si>
    <t>Honda Accord Grille</t>
  </si>
  <si>
    <t>SN10.1908-TL</t>
  </si>
  <si>
    <t>Tail Light Assembly LH - (08-12)</t>
  </si>
  <si>
    <t>SN10.1908-TR</t>
  </si>
  <si>
    <t>Tail Light Assembly RH - (08-12)</t>
  </si>
  <si>
    <t>SN10.1908-TKT</t>
  </si>
  <si>
    <t>Tail Light Assembly LH/RH - (08-12)</t>
  </si>
  <si>
    <t>SN11.1908-FDBC</t>
  </si>
  <si>
    <t>Accord Front Driver Side Bumper Cover Spacer</t>
  </si>
  <si>
    <t>SN11.1908-FPBC</t>
  </si>
  <si>
    <t>Accord Front Passenger Side Bumper Cover Spacer</t>
  </si>
  <si>
    <t>SN11.1908-FDBS</t>
  </si>
  <si>
    <t>Accord Front Driver Side Bumper Support</t>
  </si>
  <si>
    <t>SN11.1908-FPBS</t>
  </si>
  <si>
    <t>Accord Front Passenger Side Bumper Support</t>
  </si>
  <si>
    <t>SN10.1908-FL</t>
  </si>
  <si>
    <t>Fog Light Assembly LH - (08-10)</t>
  </si>
  <si>
    <t>SN10.1908-FR</t>
  </si>
  <si>
    <t>Fog Light Assembly RH - (08-10)</t>
  </si>
  <si>
    <t>SN10.1908-FKT</t>
  </si>
  <si>
    <t>Fog Light Assembly LH/RH - (08-10)</t>
  </si>
  <si>
    <t>SN10.1908-HL</t>
  </si>
  <si>
    <t>Headlight Assembly LH -(08-12)</t>
  </si>
  <si>
    <t>SN10.1908-HR</t>
  </si>
  <si>
    <t>Headlight Assembly RH -(08-12)</t>
  </si>
  <si>
    <t>SN10.1908-HKT</t>
  </si>
  <si>
    <t>Headlight Assembly LH/Rh -(08-12)</t>
  </si>
  <si>
    <t>SN14.1908-URDC</t>
  </si>
  <si>
    <t>Accord Upper Radiator Support Cover</t>
  </si>
  <si>
    <t>SN12.1908-GLSP</t>
  </si>
  <si>
    <t>08 Accord Grille Strip</t>
  </si>
  <si>
    <t>SN11.1709-FLGL</t>
  </si>
  <si>
    <t>Civic Front Lower Bumper Grill</t>
  </si>
  <si>
    <t>SN10.1709-OTL</t>
  </si>
  <si>
    <t>Tail Light  Assembly Outer (SD&amp;Hybrid) RH - (09-11)</t>
  </si>
  <si>
    <t>SN10.1709-OTR</t>
  </si>
  <si>
    <t>SN10.1709-OTKT</t>
  </si>
  <si>
    <t>Tail Light  Assembly Outer (Sd&amp;Hybrid) LH/RH - (09-11)</t>
  </si>
  <si>
    <t>SN10.2909-FL</t>
  </si>
  <si>
    <t>Fog Light Assembly LH - (09-10)</t>
  </si>
  <si>
    <t xml:space="preserve">TSX SD </t>
  </si>
  <si>
    <t>SN10.2909-FR</t>
  </si>
  <si>
    <t>Fog Light Assembly RH - (09-10)</t>
  </si>
  <si>
    <t>SN10.2909-FKT</t>
  </si>
  <si>
    <t>Fog Light Assembly LH/RH - (09-10)</t>
  </si>
  <si>
    <t>SN10.2909-HL</t>
  </si>
  <si>
    <t>Headlight Assembly (HID,wo HID igniter) LH - (09-14)</t>
  </si>
  <si>
    <t>SN10.2909-HR</t>
  </si>
  <si>
    <t>Headlight Assembly (HID,wo HID igniter) RH - (09-14)</t>
  </si>
  <si>
    <t>SN10.2909-HKT</t>
  </si>
  <si>
    <t>Headlight Assembly (HID,wo HID igniter) LH/RH - (09-14)</t>
  </si>
  <si>
    <t>SN10.2909-OTL</t>
  </si>
  <si>
    <t>Tail Lamp Assembly Outer LH - (09-10)</t>
  </si>
  <si>
    <t>SN10.2909-OTR</t>
  </si>
  <si>
    <t>Tail Lamp Assembly Outer RH - (09-10)</t>
  </si>
  <si>
    <t>SN10.2909-OTKT</t>
  </si>
  <si>
    <t>Tail Lamp Assembly Outer LH/RH - (09-10)</t>
  </si>
  <si>
    <t>SN12.1709-GL</t>
  </si>
  <si>
    <t>09 Civic Grille Strip</t>
  </si>
  <si>
    <t>SN10.1910-HL</t>
  </si>
  <si>
    <t>Headlight Assembly LH - (10-12)</t>
  </si>
  <si>
    <t xml:space="preserve">ACCORD CROSSTOUR </t>
  </si>
  <si>
    <t>SN10.1910-HR</t>
  </si>
  <si>
    <t>Headlight Assembly RH - (10-12)</t>
  </si>
  <si>
    <t>SN10.1910-HKT</t>
  </si>
  <si>
    <t>Headlight Assembly LH/RH -(10-12)</t>
  </si>
  <si>
    <t>SN12.1810-BGL</t>
  </si>
  <si>
    <t>CR-V Front Lower Bumper Grille</t>
  </si>
  <si>
    <t>SN12.1911-GL</t>
  </si>
  <si>
    <t>Accord Grille 2011</t>
  </si>
  <si>
    <t>SN10.1712-FG</t>
  </si>
  <si>
    <t>Fog Light Assembly RH=LH (12-14)</t>
  </si>
  <si>
    <t xml:space="preserve">CR-V </t>
  </si>
  <si>
    <t>SN10.1712-TL</t>
  </si>
  <si>
    <t>Tail Light Assembly (Except Hybrid) LH - (12-12)</t>
  </si>
  <si>
    <t>SN10.1712-TR</t>
  </si>
  <si>
    <t>Tail Light Assembly (Except Hybrid) RH - (12-12)</t>
  </si>
  <si>
    <t>SN10.1712-TKT</t>
  </si>
  <si>
    <t>Tail Light Assembly (Except Hybrid) LH/RH - (12-12)</t>
  </si>
  <si>
    <t>SN10.1812-FDWM</t>
  </si>
  <si>
    <t>SN10.1812-FPWM</t>
  </si>
  <si>
    <t>Crv Front Passenger  Side Wheel Opening Moulding</t>
  </si>
  <si>
    <t>SN10.1812-FWMK</t>
  </si>
  <si>
    <t>SN10.1812-RDWM</t>
  </si>
  <si>
    <t>Crv Rear Driver Side Wheel Opening Moudling</t>
  </si>
  <si>
    <t>SN10.1812-TLL</t>
  </si>
  <si>
    <t xml:space="preserve">Tail Light Assembly Lower LH - (12 14) </t>
  </si>
  <si>
    <t>SN10.1812-TRL</t>
  </si>
  <si>
    <t xml:space="preserve">Tail Light Assembly Lower RH - (12 14) </t>
  </si>
  <si>
    <t>SN10.1812-TLKT</t>
  </si>
  <si>
    <t>Tail Light Assembly Lower LH/RH - (12-14)</t>
  </si>
  <si>
    <t>SN12.1712-GL</t>
  </si>
  <si>
    <t>12 Civic Grill</t>
  </si>
  <si>
    <t>SN12.1712-GLBL</t>
  </si>
  <si>
    <t>Civic Driver Side Grille Bracket</t>
  </si>
  <si>
    <t>SN12.1712-GLBR</t>
  </si>
  <si>
    <t>Civic Passenger Side Grille Bracket</t>
  </si>
  <si>
    <t>SN12.1812-GL</t>
  </si>
  <si>
    <t>12 CR-V Grille</t>
  </si>
  <si>
    <t>SN10.1913-HL*</t>
  </si>
  <si>
    <t>Headlight Assembly  (HALOGEN,EX/LX/Sport,2.4L EX-L) LH - (13-15)</t>
  </si>
  <si>
    <t>SN10.1913-HL*B</t>
  </si>
  <si>
    <t>SN10.1913-HR*</t>
  </si>
  <si>
    <t>Headlight Assembly  (HALOGEN,EX/LX/Sport,2.4L EX-L) rH - (13-15)</t>
  </si>
  <si>
    <t>SN10.1913-HKT**</t>
  </si>
  <si>
    <t>Headlight Assembly (Halogen, EX/LX/Sport,2.4L EX-L)LH/RH - (13-15)</t>
  </si>
  <si>
    <t>SN10.1716-HL**</t>
  </si>
  <si>
    <t>Headlight Assembly USA Model With LED LH (16-18)</t>
  </si>
  <si>
    <t>SN10.1716-HL**B</t>
  </si>
  <si>
    <t>SN10.1716-RH**</t>
  </si>
  <si>
    <t>Headlight Assembly USA Model With LED RH (16-18)</t>
  </si>
  <si>
    <t>SN10.1716-RH**B</t>
  </si>
  <si>
    <t>SN10.1716-HKT</t>
  </si>
  <si>
    <t>Headlight Assembly USA Model With LED LH/RH</t>
  </si>
  <si>
    <t>SN10.1916-HL**</t>
  </si>
  <si>
    <t>Headlight Assembly  USA Model W/LED LH</t>
  </si>
  <si>
    <t>SN10.1916-HR**</t>
  </si>
  <si>
    <t>Headlight Assembly  USA Model W/LED RH</t>
  </si>
  <si>
    <t>SN10.1916-HKT**</t>
  </si>
  <si>
    <t>Headlight Assembly  USA Model W/LED LH/RH</t>
  </si>
  <si>
    <t>SN10.1607-TL</t>
  </si>
  <si>
    <t>TAIL LAMP ASSY LH-(07-08)</t>
  </si>
  <si>
    <t>FIT</t>
  </si>
  <si>
    <t>Lighting</t>
  </si>
  <si>
    <t>SN10.1607-TR</t>
  </si>
  <si>
    <t>TAIL LAMP ASSY RH-(07-08)</t>
  </si>
  <si>
    <t>Length</t>
  </si>
  <si>
    <t>Width</t>
  </si>
  <si>
    <t>Height</t>
  </si>
  <si>
    <t>UPC Code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</si>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</sst>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4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6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0" fillId="0" borderId="0" xfId="0" applyFill="1"/>
    <xf numFmtId="0" fontId="2" fillId="0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1B6A63A3-BE2D-4D3C-95D0-810BA19B15B7}"/>
    <cellStyle name="常规 4" xfId="2" xr:uid="{ABBEC4C7-46CD-4B79-A947-CCE79E3FE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5EE8-0A7A-41DA-AA43-FA25A39C46B3}">
  <dimension ref="A1:N134"/>
  <sheetViews>
    <sheetView tabSelected="1" workbookViewId="0">
      <selection activeCell="G1" sqref="G1:I1048576"/>
    </sheetView>
  </sheetViews>
  <sheetFormatPr defaultRowHeight="14.4" x14ac:dyDescent="0.3"/>
  <cols>
    <col min="1" max="1" width="16.88671875" style="32" bestFit="1" customWidth="1"/>
    <col min="2" max="2" width="52.21875" style="32" bestFit="1" customWidth="1"/>
    <col min="6" max="6" width="21.6640625" bestFit="1" customWidth="1"/>
    <col min="7" max="9" width="8.88671875" style="32"/>
    <col min="10" max="10" width="13.109375" bestFit="1" customWidth="1"/>
  </cols>
  <sheetData>
    <row r="1" spans="1:14" ht="28.8" x14ac:dyDescent="0.3">
      <c r="A1" s="17" t="s">
        <v>0</v>
      </c>
      <c r="B1" s="1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3" t="s">
        <v>6</v>
      </c>
      <c r="H1" s="33" t="s">
        <v>7</v>
      </c>
      <c r="I1" s="33" t="s">
        <v>8</v>
      </c>
      <c r="J1" s="1" t="s">
        <v>295</v>
      </c>
      <c r="K1" s="1" t="s">
        <v>292</v>
      </c>
      <c r="L1" s="1" t="s">
        <v>293</v>
      </c>
      <c r="M1" s="1" t="s">
        <v>294</v>
      </c>
      <c r="N1" s="1" t="s">
        <v>296</v>
      </c>
    </row>
    <row r="2" spans="1:14" x14ac:dyDescent="0.3">
      <c r="A2" s="19" t="s">
        <v>9</v>
      </c>
      <c r="B2" s="20" t="s">
        <v>10</v>
      </c>
      <c r="C2" s="3" t="s">
        <v>11</v>
      </c>
      <c r="D2" s="4" t="s">
        <v>12</v>
      </c>
      <c r="E2" s="5" t="s">
        <v>13</v>
      </c>
      <c r="F2" s="5" t="s">
        <v>14</v>
      </c>
      <c r="G2" s="20">
        <v>1998</v>
      </c>
      <c r="H2" s="20">
        <v>2000</v>
      </c>
      <c r="I2" s="26">
        <v>4</v>
      </c>
      <c r="J2" s="15">
        <v>762530098314</v>
      </c>
      <c r="K2" s="5">
        <v>18.5</v>
      </c>
      <c r="L2" s="5">
        <v>8.5</v>
      </c>
      <c r="M2" s="5">
        <v>4</v>
      </c>
      <c r="N2" s="5">
        <v>2</v>
      </c>
    </row>
    <row r="3" spans="1:14" x14ac:dyDescent="0.3">
      <c r="A3" s="19" t="s">
        <v>15</v>
      </c>
      <c r="B3" s="20" t="s">
        <v>16</v>
      </c>
      <c r="C3" s="3" t="s">
        <v>11</v>
      </c>
      <c r="D3" s="4" t="s">
        <v>12</v>
      </c>
      <c r="E3" s="5" t="s">
        <v>13</v>
      </c>
      <c r="F3" s="5" t="s">
        <v>14</v>
      </c>
      <c r="G3" s="20">
        <v>1998</v>
      </c>
      <c r="H3" s="20">
        <v>2000</v>
      </c>
      <c r="I3" s="26">
        <v>4</v>
      </c>
      <c r="J3" s="15">
        <v>762530393518</v>
      </c>
      <c r="K3" s="5">
        <v>18.5</v>
      </c>
      <c r="L3" s="5">
        <v>8.5</v>
      </c>
      <c r="M3" s="5">
        <v>4</v>
      </c>
      <c r="N3" s="5">
        <v>2</v>
      </c>
    </row>
    <row r="4" spans="1:14" x14ac:dyDescent="0.3">
      <c r="A4" s="19" t="s">
        <v>17</v>
      </c>
      <c r="B4" s="20" t="s">
        <v>18</v>
      </c>
      <c r="C4" s="3" t="s">
        <v>11</v>
      </c>
      <c r="D4" s="4" t="s">
        <v>12</v>
      </c>
      <c r="E4" s="5" t="s">
        <v>13</v>
      </c>
      <c r="F4" s="5" t="s">
        <v>14</v>
      </c>
      <c r="G4" s="20">
        <v>1998</v>
      </c>
      <c r="H4" s="20">
        <v>2000</v>
      </c>
      <c r="I4" s="26"/>
      <c r="J4" s="5"/>
      <c r="K4" s="5"/>
      <c r="L4" s="5"/>
      <c r="M4" s="5"/>
      <c r="N4" s="5"/>
    </row>
    <row r="5" spans="1:14" x14ac:dyDescent="0.3">
      <c r="A5" s="19" t="s">
        <v>19</v>
      </c>
      <c r="B5" s="20" t="s">
        <v>20</v>
      </c>
      <c r="C5" s="5" t="s">
        <v>11</v>
      </c>
      <c r="D5" s="4" t="s">
        <v>12</v>
      </c>
      <c r="E5" s="5" t="s">
        <v>13</v>
      </c>
      <c r="F5" s="5" t="s">
        <v>14</v>
      </c>
      <c r="G5" s="20">
        <v>1998</v>
      </c>
      <c r="H5" s="20">
        <v>2000</v>
      </c>
      <c r="I5" s="26">
        <v>4</v>
      </c>
      <c r="J5" s="15">
        <v>762530484568</v>
      </c>
      <c r="K5" s="5">
        <v>18</v>
      </c>
      <c r="L5" s="5">
        <v>10</v>
      </c>
      <c r="M5" s="5">
        <v>8</v>
      </c>
      <c r="N5" s="5">
        <v>3</v>
      </c>
    </row>
    <row r="6" spans="1:14" x14ac:dyDescent="0.3">
      <c r="A6" s="19" t="s">
        <v>21</v>
      </c>
      <c r="B6" s="20" t="s">
        <v>22</v>
      </c>
      <c r="C6" s="5" t="s">
        <v>11</v>
      </c>
      <c r="D6" s="4" t="s">
        <v>12</v>
      </c>
      <c r="E6" s="5" t="s">
        <v>13</v>
      </c>
      <c r="F6" s="5" t="s">
        <v>14</v>
      </c>
      <c r="G6" s="20">
        <v>1998</v>
      </c>
      <c r="H6" s="20">
        <v>2000</v>
      </c>
      <c r="I6" s="26">
        <v>4</v>
      </c>
      <c r="J6" s="15">
        <v>762530423321</v>
      </c>
      <c r="K6" s="5">
        <v>18</v>
      </c>
      <c r="L6" s="5">
        <v>10</v>
      </c>
      <c r="M6" s="5">
        <v>8</v>
      </c>
      <c r="N6" s="5">
        <v>3</v>
      </c>
    </row>
    <row r="7" spans="1:14" x14ac:dyDescent="0.3">
      <c r="A7" s="19" t="s">
        <v>23</v>
      </c>
      <c r="B7" s="20" t="s">
        <v>24</v>
      </c>
      <c r="C7" s="5" t="s">
        <v>11</v>
      </c>
      <c r="D7" s="4" t="s">
        <v>12</v>
      </c>
      <c r="E7" s="5" t="s">
        <v>13</v>
      </c>
      <c r="F7" s="5" t="s">
        <v>14</v>
      </c>
      <c r="G7" s="20">
        <v>1998</v>
      </c>
      <c r="H7" s="20">
        <v>2000</v>
      </c>
      <c r="I7" s="26"/>
      <c r="J7" s="15">
        <v>762530366277</v>
      </c>
      <c r="K7" s="5">
        <v>18</v>
      </c>
      <c r="L7" s="5">
        <v>10</v>
      </c>
      <c r="M7" s="5">
        <v>8</v>
      </c>
      <c r="N7" s="5">
        <v>4</v>
      </c>
    </row>
    <row r="8" spans="1:14" x14ac:dyDescent="0.3">
      <c r="A8" s="21" t="s">
        <v>25</v>
      </c>
      <c r="B8" s="22" t="s">
        <v>26</v>
      </c>
      <c r="C8" s="7" t="s">
        <v>27</v>
      </c>
      <c r="D8" s="8" t="s">
        <v>28</v>
      </c>
      <c r="E8" s="5" t="s">
        <v>29</v>
      </c>
      <c r="F8" s="5" t="s">
        <v>30</v>
      </c>
      <c r="G8" s="27">
        <v>2001</v>
      </c>
      <c r="H8" s="27">
        <v>2006</v>
      </c>
      <c r="I8" s="26">
        <v>5</v>
      </c>
      <c r="J8" s="5"/>
      <c r="K8" s="5"/>
      <c r="L8" s="5"/>
      <c r="M8" s="5"/>
      <c r="N8" s="5"/>
    </row>
    <row r="9" spans="1:14" x14ac:dyDescent="0.3">
      <c r="A9" s="21" t="s">
        <v>31</v>
      </c>
      <c r="B9" s="22" t="s">
        <v>32</v>
      </c>
      <c r="C9" s="7" t="s">
        <v>27</v>
      </c>
      <c r="D9" s="8" t="s">
        <v>28</v>
      </c>
      <c r="E9" s="5" t="s">
        <v>33</v>
      </c>
      <c r="F9" s="5" t="s">
        <v>34</v>
      </c>
      <c r="G9" s="27">
        <v>2001</v>
      </c>
      <c r="H9" s="27">
        <v>2006</v>
      </c>
      <c r="I9" s="26">
        <v>10</v>
      </c>
      <c r="J9" s="5"/>
      <c r="K9" s="5"/>
      <c r="L9" s="5"/>
      <c r="M9" s="5"/>
      <c r="N9" s="5"/>
    </row>
    <row r="10" spans="1:14" x14ac:dyDescent="0.3">
      <c r="A10" s="21" t="s">
        <v>35</v>
      </c>
      <c r="B10" s="22" t="s">
        <v>36</v>
      </c>
      <c r="C10" s="7" t="s">
        <v>27</v>
      </c>
      <c r="D10" s="8" t="s">
        <v>28</v>
      </c>
      <c r="E10" s="5" t="s">
        <v>33</v>
      </c>
      <c r="F10" s="5" t="s">
        <v>34</v>
      </c>
      <c r="G10" s="27">
        <v>2001</v>
      </c>
      <c r="H10" s="27">
        <v>2004</v>
      </c>
      <c r="I10" s="26">
        <v>8</v>
      </c>
      <c r="J10" s="5"/>
      <c r="K10" s="5"/>
      <c r="L10" s="5"/>
      <c r="M10" s="5"/>
      <c r="N10" s="5"/>
    </row>
    <row r="11" spans="1:14" x14ac:dyDescent="0.3">
      <c r="A11" s="23" t="s">
        <v>37</v>
      </c>
      <c r="B11" s="22" t="s">
        <v>38</v>
      </c>
      <c r="C11" s="6" t="s">
        <v>11</v>
      </c>
      <c r="D11" s="9" t="s">
        <v>39</v>
      </c>
      <c r="E11" s="5" t="s">
        <v>13</v>
      </c>
      <c r="F11" s="5" t="s">
        <v>14</v>
      </c>
      <c r="G11" s="28">
        <v>2001</v>
      </c>
      <c r="H11" s="28">
        <v>2002</v>
      </c>
      <c r="I11" s="26">
        <v>4</v>
      </c>
      <c r="J11" s="15">
        <v>762530332470</v>
      </c>
      <c r="K11" s="6">
        <v>18.5</v>
      </c>
      <c r="L11" s="6">
        <v>8.5</v>
      </c>
      <c r="M11" s="6">
        <v>4</v>
      </c>
      <c r="N11" s="6">
        <v>2</v>
      </c>
    </row>
    <row r="12" spans="1:14" x14ac:dyDescent="0.3">
      <c r="A12" s="23" t="s">
        <v>40</v>
      </c>
      <c r="B12" s="22" t="s">
        <v>41</v>
      </c>
      <c r="C12" s="6" t="s">
        <v>11</v>
      </c>
      <c r="D12" s="9" t="s">
        <v>39</v>
      </c>
      <c r="E12" s="5" t="s">
        <v>13</v>
      </c>
      <c r="F12" s="5" t="s">
        <v>14</v>
      </c>
      <c r="G12" s="28">
        <v>2001</v>
      </c>
      <c r="H12" s="28">
        <v>2002</v>
      </c>
      <c r="I12" s="26">
        <v>4</v>
      </c>
      <c r="J12" s="15">
        <v>762530118609</v>
      </c>
      <c r="K12" s="6">
        <v>18.5</v>
      </c>
      <c r="L12" s="6">
        <v>8.5</v>
      </c>
      <c r="M12" s="6">
        <v>4</v>
      </c>
      <c r="N12" s="6">
        <v>2</v>
      </c>
    </row>
    <row r="13" spans="1:14" x14ac:dyDescent="0.3">
      <c r="A13" s="23" t="s">
        <v>42</v>
      </c>
      <c r="B13" s="22" t="s">
        <v>43</v>
      </c>
      <c r="C13" s="6" t="s">
        <v>11</v>
      </c>
      <c r="D13" s="9" t="s">
        <v>39</v>
      </c>
      <c r="E13" s="5" t="s">
        <v>13</v>
      </c>
      <c r="F13" s="5" t="s">
        <v>14</v>
      </c>
      <c r="G13" s="28">
        <v>2001</v>
      </c>
      <c r="H13" s="28">
        <v>2002</v>
      </c>
      <c r="I13" s="26"/>
      <c r="J13" s="5"/>
      <c r="K13" s="5"/>
      <c r="L13" s="5"/>
      <c r="M13" s="5"/>
      <c r="N13" s="5"/>
    </row>
    <row r="14" spans="1:14" x14ac:dyDescent="0.3">
      <c r="A14" s="23" t="s">
        <v>44</v>
      </c>
      <c r="B14" s="22" t="s">
        <v>45</v>
      </c>
      <c r="C14" s="6" t="s">
        <v>11</v>
      </c>
      <c r="D14" s="9" t="s">
        <v>39</v>
      </c>
      <c r="E14" s="5" t="s">
        <v>13</v>
      </c>
      <c r="F14" s="5" t="s">
        <v>14</v>
      </c>
      <c r="G14" s="28">
        <v>2001</v>
      </c>
      <c r="H14" s="28">
        <v>2002</v>
      </c>
      <c r="I14" s="26">
        <v>4</v>
      </c>
      <c r="J14" s="15">
        <v>762530268007</v>
      </c>
      <c r="K14" s="6">
        <v>15.25</v>
      </c>
      <c r="L14" s="6">
        <v>8.25</v>
      </c>
      <c r="M14" s="6">
        <v>6.25</v>
      </c>
      <c r="N14" s="6">
        <v>2</v>
      </c>
    </row>
    <row r="15" spans="1:14" x14ac:dyDescent="0.3">
      <c r="A15" s="23" t="s">
        <v>46</v>
      </c>
      <c r="B15" s="22" t="s">
        <v>47</v>
      </c>
      <c r="C15" s="6" t="s">
        <v>11</v>
      </c>
      <c r="D15" s="9" t="s">
        <v>39</v>
      </c>
      <c r="E15" s="5" t="s">
        <v>13</v>
      </c>
      <c r="F15" s="5" t="s">
        <v>14</v>
      </c>
      <c r="G15" s="28">
        <v>2001</v>
      </c>
      <c r="H15" s="28">
        <v>2002</v>
      </c>
      <c r="I15" s="26">
        <v>4</v>
      </c>
      <c r="J15" s="15">
        <v>762530344374</v>
      </c>
      <c r="K15" s="6">
        <v>15.25</v>
      </c>
      <c r="L15" s="6">
        <v>8.25</v>
      </c>
      <c r="M15" s="6">
        <v>6.25</v>
      </c>
      <c r="N15" s="6">
        <v>2</v>
      </c>
    </row>
    <row r="16" spans="1:14" x14ac:dyDescent="0.3">
      <c r="A16" s="23" t="s">
        <v>48</v>
      </c>
      <c r="B16" s="22" t="s">
        <v>49</v>
      </c>
      <c r="C16" s="6" t="s">
        <v>11</v>
      </c>
      <c r="D16" s="9" t="s">
        <v>39</v>
      </c>
      <c r="E16" s="5" t="s">
        <v>13</v>
      </c>
      <c r="F16" s="5" t="s">
        <v>14</v>
      </c>
      <c r="G16" s="28">
        <v>2001</v>
      </c>
      <c r="H16" s="28">
        <v>2002</v>
      </c>
      <c r="I16" s="26"/>
      <c r="J16" s="5"/>
      <c r="K16" s="5"/>
      <c r="L16" s="5"/>
      <c r="M16" s="5"/>
      <c r="N16" s="5"/>
    </row>
    <row r="17" spans="1:14" x14ac:dyDescent="0.3">
      <c r="A17" s="21" t="s">
        <v>50</v>
      </c>
      <c r="B17" s="22" t="s">
        <v>51</v>
      </c>
      <c r="C17" s="7" t="s">
        <v>11</v>
      </c>
      <c r="D17" s="8" t="s">
        <v>52</v>
      </c>
      <c r="E17" s="5" t="s">
        <v>29</v>
      </c>
      <c r="F17" s="5" t="s">
        <v>30</v>
      </c>
      <c r="G17" s="27">
        <v>2002</v>
      </c>
      <c r="H17" s="27">
        <v>2006</v>
      </c>
      <c r="I17" s="26">
        <v>10</v>
      </c>
      <c r="J17" s="5"/>
      <c r="K17" s="5"/>
      <c r="L17" s="5"/>
      <c r="M17" s="5"/>
      <c r="N17" s="5"/>
    </row>
    <row r="18" spans="1:14" x14ac:dyDescent="0.3">
      <c r="A18" s="21" t="s">
        <v>53</v>
      </c>
      <c r="B18" s="22" t="s">
        <v>54</v>
      </c>
      <c r="C18" s="7" t="s">
        <v>11</v>
      </c>
      <c r="D18" s="8" t="s">
        <v>52</v>
      </c>
      <c r="E18" s="5" t="s">
        <v>29</v>
      </c>
      <c r="F18" s="5" t="s">
        <v>30</v>
      </c>
      <c r="G18" s="27">
        <v>2002</v>
      </c>
      <c r="H18" s="27">
        <v>2006</v>
      </c>
      <c r="I18" s="26">
        <v>10</v>
      </c>
      <c r="J18" s="5"/>
      <c r="K18" s="5"/>
      <c r="L18" s="5"/>
      <c r="M18" s="5"/>
      <c r="N18" s="5"/>
    </row>
    <row r="19" spans="1:14" x14ac:dyDescent="0.3">
      <c r="A19" s="21" t="s">
        <v>55</v>
      </c>
      <c r="B19" s="22" t="s">
        <v>56</v>
      </c>
      <c r="C19" s="7" t="s">
        <v>11</v>
      </c>
      <c r="D19" s="8" t="s">
        <v>52</v>
      </c>
      <c r="E19" s="6" t="s">
        <v>29</v>
      </c>
      <c r="F19" s="6" t="s">
        <v>57</v>
      </c>
      <c r="G19" s="27">
        <v>2002</v>
      </c>
      <c r="H19" s="27">
        <v>2004</v>
      </c>
      <c r="I19" s="26">
        <v>10</v>
      </c>
      <c r="J19" s="5"/>
      <c r="K19" s="5"/>
      <c r="L19" s="5"/>
      <c r="M19" s="5"/>
      <c r="N19" s="5"/>
    </row>
    <row r="20" spans="1:14" x14ac:dyDescent="0.3">
      <c r="A20" s="21" t="s">
        <v>58</v>
      </c>
      <c r="B20" s="22" t="s">
        <v>59</v>
      </c>
      <c r="C20" s="7" t="s">
        <v>11</v>
      </c>
      <c r="D20" s="8" t="s">
        <v>52</v>
      </c>
      <c r="E20" s="6" t="s">
        <v>29</v>
      </c>
      <c r="F20" s="6" t="s">
        <v>57</v>
      </c>
      <c r="G20" s="27">
        <v>2002</v>
      </c>
      <c r="H20" s="27">
        <v>2004</v>
      </c>
      <c r="I20" s="26">
        <v>10</v>
      </c>
      <c r="J20" s="5"/>
      <c r="K20" s="5"/>
      <c r="L20" s="5"/>
      <c r="M20" s="5"/>
      <c r="N20" s="5"/>
    </row>
    <row r="21" spans="1:14" x14ac:dyDescent="0.3">
      <c r="A21" s="21" t="s">
        <v>60</v>
      </c>
      <c r="B21" s="22" t="s">
        <v>61</v>
      </c>
      <c r="C21" s="7" t="s">
        <v>11</v>
      </c>
      <c r="D21" s="8" t="s">
        <v>52</v>
      </c>
      <c r="E21" s="6" t="s">
        <v>29</v>
      </c>
      <c r="F21" s="6" t="s">
        <v>57</v>
      </c>
      <c r="G21" s="27">
        <v>2002</v>
      </c>
      <c r="H21" s="27">
        <v>2004</v>
      </c>
      <c r="I21" s="26"/>
      <c r="J21" s="5"/>
      <c r="K21" s="5"/>
      <c r="L21" s="5"/>
      <c r="M21" s="5"/>
      <c r="N21" s="5"/>
    </row>
    <row r="22" spans="1:14" x14ac:dyDescent="0.3">
      <c r="A22" s="21" t="s">
        <v>62</v>
      </c>
      <c r="B22" s="22" t="s">
        <v>63</v>
      </c>
      <c r="C22" s="7" t="s">
        <v>11</v>
      </c>
      <c r="D22" s="8" t="s">
        <v>52</v>
      </c>
      <c r="E22" s="6" t="s">
        <v>29</v>
      </c>
      <c r="F22" s="6" t="s">
        <v>57</v>
      </c>
      <c r="G22" s="27">
        <v>2002</v>
      </c>
      <c r="H22" s="27">
        <v>2004</v>
      </c>
      <c r="I22" s="26">
        <v>10</v>
      </c>
      <c r="J22" s="5"/>
      <c r="K22" s="5"/>
      <c r="L22" s="5"/>
      <c r="M22" s="5"/>
      <c r="N22" s="5"/>
    </row>
    <row r="23" spans="1:14" x14ac:dyDescent="0.3">
      <c r="A23" s="21" t="s">
        <v>64</v>
      </c>
      <c r="B23" s="22" t="s">
        <v>65</v>
      </c>
      <c r="C23" s="7" t="s">
        <v>11</v>
      </c>
      <c r="D23" s="8" t="s">
        <v>52</v>
      </c>
      <c r="E23" s="6" t="s">
        <v>29</v>
      </c>
      <c r="F23" s="6" t="s">
        <v>57</v>
      </c>
      <c r="G23" s="27">
        <v>2002</v>
      </c>
      <c r="H23" s="27">
        <v>2004</v>
      </c>
      <c r="I23" s="26">
        <v>10</v>
      </c>
      <c r="J23" s="5"/>
      <c r="K23" s="5"/>
      <c r="L23" s="5"/>
      <c r="M23" s="5"/>
      <c r="N23" s="5"/>
    </row>
    <row r="24" spans="1:14" x14ac:dyDescent="0.3">
      <c r="A24" s="21" t="s">
        <v>66</v>
      </c>
      <c r="B24" s="22" t="s">
        <v>67</v>
      </c>
      <c r="C24" s="7" t="s">
        <v>11</v>
      </c>
      <c r="D24" s="8" t="s">
        <v>52</v>
      </c>
      <c r="E24" s="6" t="s">
        <v>29</v>
      </c>
      <c r="F24" s="6" t="s">
        <v>57</v>
      </c>
      <c r="G24" s="27">
        <v>2002</v>
      </c>
      <c r="H24" s="27">
        <v>2004</v>
      </c>
      <c r="I24" s="26"/>
      <c r="J24" s="5"/>
      <c r="K24" s="5"/>
      <c r="L24" s="5"/>
      <c r="M24" s="5"/>
      <c r="N24" s="5"/>
    </row>
    <row r="25" spans="1:14" x14ac:dyDescent="0.3">
      <c r="A25" s="21" t="s">
        <v>68</v>
      </c>
      <c r="B25" s="22" t="s">
        <v>69</v>
      </c>
      <c r="C25" s="7" t="s">
        <v>11</v>
      </c>
      <c r="D25" s="8" t="s">
        <v>52</v>
      </c>
      <c r="E25" s="6" t="s">
        <v>29</v>
      </c>
      <c r="F25" s="6" t="s">
        <v>57</v>
      </c>
      <c r="G25" s="27">
        <v>2002</v>
      </c>
      <c r="H25" s="27">
        <v>2004</v>
      </c>
      <c r="I25" s="26"/>
      <c r="J25" s="5"/>
      <c r="K25" s="5"/>
      <c r="L25" s="5"/>
      <c r="M25" s="5"/>
      <c r="N25" s="5"/>
    </row>
    <row r="26" spans="1:14" x14ac:dyDescent="0.3">
      <c r="A26" s="23" t="s">
        <v>70</v>
      </c>
      <c r="B26" s="22" t="s">
        <v>71</v>
      </c>
      <c r="C26" s="6" t="s">
        <v>11</v>
      </c>
      <c r="D26" s="8" t="s">
        <v>52</v>
      </c>
      <c r="E26" s="6" t="s">
        <v>13</v>
      </c>
      <c r="F26" s="6" t="s">
        <v>72</v>
      </c>
      <c r="G26" s="28">
        <v>2002</v>
      </c>
      <c r="H26" s="28">
        <v>2006</v>
      </c>
      <c r="I26" s="26">
        <v>6</v>
      </c>
      <c r="J26" s="5"/>
      <c r="K26" s="5">
        <v>13</v>
      </c>
      <c r="L26" s="5">
        <v>7.25</v>
      </c>
      <c r="M26" s="5">
        <v>5</v>
      </c>
      <c r="N26" s="5">
        <f>140-138.2</f>
        <v>1.8000000000000114</v>
      </c>
    </row>
    <row r="27" spans="1:14" x14ac:dyDescent="0.3">
      <c r="A27" s="23" t="s">
        <v>73</v>
      </c>
      <c r="B27" s="22" t="s">
        <v>74</v>
      </c>
      <c r="C27" s="6" t="s">
        <v>11</v>
      </c>
      <c r="D27" s="8" t="s">
        <v>52</v>
      </c>
      <c r="E27" s="6" t="s">
        <v>13</v>
      </c>
      <c r="F27" s="6" t="s">
        <v>72</v>
      </c>
      <c r="G27" s="28">
        <v>2002</v>
      </c>
      <c r="H27" s="28">
        <v>2006</v>
      </c>
      <c r="I27" s="26">
        <v>6</v>
      </c>
      <c r="J27" s="5"/>
      <c r="K27" s="5">
        <v>13</v>
      </c>
      <c r="L27" s="5">
        <v>7.25</v>
      </c>
      <c r="M27" s="5">
        <v>5</v>
      </c>
      <c r="N27" s="5">
        <v>1.8</v>
      </c>
    </row>
    <row r="28" spans="1:14" x14ac:dyDescent="0.3">
      <c r="A28" s="23" t="s">
        <v>75</v>
      </c>
      <c r="B28" s="22" t="s">
        <v>76</v>
      </c>
      <c r="C28" s="6" t="s">
        <v>11</v>
      </c>
      <c r="D28" s="8" t="s">
        <v>52</v>
      </c>
      <c r="E28" s="6" t="s">
        <v>13</v>
      </c>
      <c r="F28" s="6" t="s">
        <v>72</v>
      </c>
      <c r="G28" s="28">
        <v>2002</v>
      </c>
      <c r="H28" s="28">
        <v>2006</v>
      </c>
      <c r="I28" s="26"/>
      <c r="J28" s="5"/>
      <c r="K28" s="5"/>
      <c r="L28" s="5"/>
      <c r="M28" s="5"/>
      <c r="N28" s="5"/>
    </row>
    <row r="29" spans="1:14" x14ac:dyDescent="0.3">
      <c r="A29" s="23" t="s">
        <v>77</v>
      </c>
      <c r="B29" s="22" t="s">
        <v>78</v>
      </c>
      <c r="C29" s="6" t="s">
        <v>11</v>
      </c>
      <c r="D29" s="8" t="s">
        <v>52</v>
      </c>
      <c r="E29" s="6" t="s">
        <v>13</v>
      </c>
      <c r="F29" s="6" t="s">
        <v>79</v>
      </c>
      <c r="G29" s="28">
        <v>2002</v>
      </c>
      <c r="H29" s="28">
        <v>2004</v>
      </c>
      <c r="I29" s="26">
        <v>4</v>
      </c>
      <c r="J29" s="15">
        <v>759126593186</v>
      </c>
      <c r="K29" s="6">
        <v>24.75</v>
      </c>
      <c r="L29" s="6">
        <v>13.5</v>
      </c>
      <c r="M29" s="6">
        <v>13.5</v>
      </c>
      <c r="N29" s="6">
        <f>143.4-136</f>
        <v>7.4000000000000057</v>
      </c>
    </row>
    <row r="30" spans="1:14" x14ac:dyDescent="0.3">
      <c r="A30" s="23" t="s">
        <v>80</v>
      </c>
      <c r="B30" s="22" t="s">
        <v>81</v>
      </c>
      <c r="C30" s="6" t="s">
        <v>11</v>
      </c>
      <c r="D30" s="8" t="s">
        <v>52</v>
      </c>
      <c r="E30" s="6" t="s">
        <v>13</v>
      </c>
      <c r="F30" s="6" t="s">
        <v>79</v>
      </c>
      <c r="G30" s="28">
        <v>2002</v>
      </c>
      <c r="H30" s="28">
        <v>2004</v>
      </c>
      <c r="I30" s="26">
        <v>4</v>
      </c>
      <c r="J30" s="15">
        <v>759126594695</v>
      </c>
      <c r="K30" s="6">
        <v>24.75</v>
      </c>
      <c r="L30" s="6">
        <v>13.5</v>
      </c>
      <c r="M30" s="6">
        <v>13.5</v>
      </c>
      <c r="N30" s="6">
        <f>143.4-136</f>
        <v>7.4000000000000057</v>
      </c>
    </row>
    <row r="31" spans="1:14" x14ac:dyDescent="0.3">
      <c r="A31" s="23" t="s">
        <v>82</v>
      </c>
      <c r="B31" s="22" t="s">
        <v>83</v>
      </c>
      <c r="C31" s="6" t="s">
        <v>11</v>
      </c>
      <c r="D31" s="8" t="s">
        <v>52</v>
      </c>
      <c r="E31" s="6" t="s">
        <v>13</v>
      </c>
      <c r="F31" s="6" t="s">
        <v>79</v>
      </c>
      <c r="G31" s="28">
        <v>2002</v>
      </c>
      <c r="H31" s="28">
        <v>2004</v>
      </c>
      <c r="I31" s="26"/>
      <c r="J31" s="15"/>
      <c r="K31" s="6"/>
      <c r="L31" s="6"/>
      <c r="M31" s="6"/>
      <c r="N31" s="6"/>
    </row>
    <row r="32" spans="1:14" x14ac:dyDescent="0.3">
      <c r="A32" s="21" t="s">
        <v>84</v>
      </c>
      <c r="B32" s="22" t="s">
        <v>85</v>
      </c>
      <c r="C32" s="7" t="s">
        <v>11</v>
      </c>
      <c r="D32" s="9" t="s">
        <v>39</v>
      </c>
      <c r="E32" s="5" t="s">
        <v>29</v>
      </c>
      <c r="F32" s="5" t="s">
        <v>30</v>
      </c>
      <c r="G32" s="27">
        <v>2003</v>
      </c>
      <c r="H32" s="27">
        <v>2007</v>
      </c>
      <c r="I32" s="26">
        <v>10</v>
      </c>
      <c r="J32" s="5"/>
      <c r="K32" s="5"/>
      <c r="L32" s="5"/>
      <c r="M32" s="5"/>
      <c r="N32" s="5"/>
    </row>
    <row r="33" spans="1:14" x14ac:dyDescent="0.3">
      <c r="A33" s="21" t="s">
        <v>86</v>
      </c>
      <c r="B33" s="22" t="s">
        <v>87</v>
      </c>
      <c r="C33" s="7" t="s">
        <v>11</v>
      </c>
      <c r="D33" s="9" t="s">
        <v>39</v>
      </c>
      <c r="E33" s="5" t="s">
        <v>29</v>
      </c>
      <c r="F33" s="5" t="s">
        <v>30</v>
      </c>
      <c r="G33" s="27">
        <v>2003</v>
      </c>
      <c r="H33" s="27">
        <v>2007</v>
      </c>
      <c r="I33" s="26">
        <v>10</v>
      </c>
      <c r="J33" s="5"/>
      <c r="K33" s="5"/>
      <c r="L33" s="5"/>
      <c r="M33" s="5"/>
      <c r="N33" s="5"/>
    </row>
    <row r="34" spans="1:14" x14ac:dyDescent="0.3">
      <c r="A34" s="21" t="s">
        <v>88</v>
      </c>
      <c r="B34" s="22" t="s">
        <v>89</v>
      </c>
      <c r="C34" s="7" t="s">
        <v>11</v>
      </c>
      <c r="D34" s="9" t="s">
        <v>39</v>
      </c>
      <c r="E34" s="5" t="s">
        <v>29</v>
      </c>
      <c r="F34" s="5" t="s">
        <v>30</v>
      </c>
      <c r="G34" s="27">
        <v>2003</v>
      </c>
      <c r="H34" s="27">
        <v>2007</v>
      </c>
      <c r="I34" s="26"/>
      <c r="J34" s="5"/>
      <c r="K34" s="5"/>
      <c r="L34" s="5"/>
      <c r="M34" s="5"/>
      <c r="N34" s="5"/>
    </row>
    <row r="35" spans="1:14" x14ac:dyDescent="0.3">
      <c r="A35" s="21" t="s">
        <v>90</v>
      </c>
      <c r="B35" s="22" t="s">
        <v>91</v>
      </c>
      <c r="C35" s="7" t="s">
        <v>11</v>
      </c>
      <c r="D35" s="9" t="s">
        <v>39</v>
      </c>
      <c r="E35" s="5" t="s">
        <v>29</v>
      </c>
      <c r="F35" s="5" t="s">
        <v>30</v>
      </c>
      <c r="G35" s="27">
        <v>2003</v>
      </c>
      <c r="H35" s="27">
        <v>2007</v>
      </c>
      <c r="I35" s="26">
        <v>10</v>
      </c>
      <c r="J35" s="5"/>
      <c r="K35" s="5"/>
      <c r="L35" s="5"/>
      <c r="M35" s="5"/>
      <c r="N35" s="5"/>
    </row>
    <row r="36" spans="1:14" x14ac:dyDescent="0.3">
      <c r="A36" s="21" t="s">
        <v>92</v>
      </c>
      <c r="B36" s="22" t="s">
        <v>93</v>
      </c>
      <c r="C36" s="7" t="s">
        <v>11</v>
      </c>
      <c r="D36" s="9" t="s">
        <v>39</v>
      </c>
      <c r="E36" s="5" t="s">
        <v>29</v>
      </c>
      <c r="F36" s="5" t="s">
        <v>30</v>
      </c>
      <c r="G36" s="27">
        <v>2003</v>
      </c>
      <c r="H36" s="27">
        <v>2007</v>
      </c>
      <c r="I36" s="26">
        <v>10</v>
      </c>
      <c r="J36" s="5"/>
      <c r="K36" s="5"/>
      <c r="L36" s="5"/>
      <c r="M36" s="5"/>
      <c r="N36" s="5"/>
    </row>
    <row r="37" spans="1:14" x14ac:dyDescent="0.3">
      <c r="A37" s="21" t="s">
        <v>94</v>
      </c>
      <c r="B37" s="22" t="s">
        <v>95</v>
      </c>
      <c r="C37" s="7" t="s">
        <v>11</v>
      </c>
      <c r="D37" s="9" t="s">
        <v>39</v>
      </c>
      <c r="E37" s="5" t="s">
        <v>29</v>
      </c>
      <c r="F37" s="5" t="s">
        <v>30</v>
      </c>
      <c r="G37" s="27">
        <v>2003</v>
      </c>
      <c r="H37" s="27">
        <v>2007</v>
      </c>
      <c r="I37" s="26"/>
      <c r="J37" s="5"/>
      <c r="K37" s="5"/>
      <c r="L37" s="5"/>
      <c r="M37" s="5"/>
      <c r="N37" s="5"/>
    </row>
    <row r="38" spans="1:14" x14ac:dyDescent="0.3">
      <c r="A38" s="23" t="s">
        <v>96</v>
      </c>
      <c r="B38" s="22" t="s">
        <v>97</v>
      </c>
      <c r="C38" s="6" t="s">
        <v>11</v>
      </c>
      <c r="D38" s="8" t="s">
        <v>52</v>
      </c>
      <c r="E38" s="6" t="s">
        <v>13</v>
      </c>
      <c r="F38" s="6" t="s">
        <v>79</v>
      </c>
      <c r="G38" s="28">
        <v>2005</v>
      </c>
      <c r="H38" s="28">
        <v>2006</v>
      </c>
      <c r="I38" s="26">
        <v>6</v>
      </c>
      <c r="J38" s="15">
        <v>759126594923</v>
      </c>
      <c r="K38" s="6">
        <v>24.75</v>
      </c>
      <c r="L38" s="6">
        <v>13.5</v>
      </c>
      <c r="M38" s="6">
        <v>13.5</v>
      </c>
      <c r="N38" s="6">
        <f>144.2-136</f>
        <v>8.1999999999999886</v>
      </c>
    </row>
    <row r="39" spans="1:14" x14ac:dyDescent="0.3">
      <c r="A39" s="23" t="s">
        <v>98</v>
      </c>
      <c r="B39" s="22" t="s">
        <v>99</v>
      </c>
      <c r="C39" s="6" t="s">
        <v>11</v>
      </c>
      <c r="D39" s="8" t="s">
        <v>52</v>
      </c>
      <c r="E39" s="6" t="s">
        <v>13</v>
      </c>
      <c r="F39" s="6" t="s">
        <v>79</v>
      </c>
      <c r="G39" s="28">
        <v>2005</v>
      </c>
      <c r="H39" s="28">
        <v>2006</v>
      </c>
      <c r="I39" s="26">
        <v>6</v>
      </c>
      <c r="J39" s="15">
        <v>759126599874</v>
      </c>
      <c r="K39" s="6">
        <v>24.75</v>
      </c>
      <c r="L39" s="6">
        <v>13.5</v>
      </c>
      <c r="M39" s="6">
        <v>13.5</v>
      </c>
      <c r="N39" s="6">
        <f>144.2-136</f>
        <v>8.1999999999999886</v>
      </c>
    </row>
    <row r="40" spans="1:14" x14ac:dyDescent="0.3">
      <c r="A40" s="23" t="s">
        <v>100</v>
      </c>
      <c r="B40" s="22" t="s">
        <v>101</v>
      </c>
      <c r="C40" s="6" t="s">
        <v>11</v>
      </c>
      <c r="D40" s="8" t="s">
        <v>52</v>
      </c>
      <c r="E40" s="6" t="s">
        <v>13</v>
      </c>
      <c r="F40" s="6" t="s">
        <v>79</v>
      </c>
      <c r="G40" s="28">
        <v>2005</v>
      </c>
      <c r="H40" s="28">
        <v>2006</v>
      </c>
      <c r="I40" s="26"/>
      <c r="J40" s="15"/>
      <c r="K40" s="6"/>
      <c r="L40" s="6"/>
      <c r="M40" s="6"/>
      <c r="N40" s="6"/>
    </row>
    <row r="41" spans="1:14" x14ac:dyDescent="0.3">
      <c r="A41" s="24" t="s">
        <v>102</v>
      </c>
      <c r="B41" s="25" t="s">
        <v>103</v>
      </c>
      <c r="C41" s="10" t="s">
        <v>11</v>
      </c>
      <c r="D41" s="11" t="s">
        <v>52</v>
      </c>
      <c r="E41" s="5" t="s">
        <v>29</v>
      </c>
      <c r="F41" s="5" t="s">
        <v>104</v>
      </c>
      <c r="G41" s="25">
        <v>2005</v>
      </c>
      <c r="H41" s="25">
        <v>2006</v>
      </c>
      <c r="I41" s="26">
        <v>10</v>
      </c>
      <c r="J41" s="5"/>
      <c r="K41" s="5"/>
      <c r="L41" s="5"/>
      <c r="M41" s="5"/>
      <c r="N41" s="5"/>
    </row>
    <row r="42" spans="1:14" x14ac:dyDescent="0.3">
      <c r="A42" s="23" t="s">
        <v>105</v>
      </c>
      <c r="B42" s="22" t="s">
        <v>106</v>
      </c>
      <c r="C42" s="6" t="s">
        <v>11</v>
      </c>
      <c r="D42" s="9" t="s">
        <v>107</v>
      </c>
      <c r="E42" s="5" t="s">
        <v>13</v>
      </c>
      <c r="F42" s="5" t="s">
        <v>79</v>
      </c>
      <c r="G42" s="28">
        <v>2006</v>
      </c>
      <c r="H42" s="28">
        <v>2008</v>
      </c>
      <c r="I42" s="26">
        <v>10</v>
      </c>
      <c r="J42" s="15">
        <v>762530203763</v>
      </c>
      <c r="K42" s="6">
        <v>25.75</v>
      </c>
      <c r="L42" s="6">
        <v>11</v>
      </c>
      <c r="M42" s="6">
        <v>9</v>
      </c>
      <c r="N42" s="6">
        <v>7</v>
      </c>
    </row>
    <row r="43" spans="1:14" x14ac:dyDescent="0.3">
      <c r="A43" s="23" t="s">
        <v>108</v>
      </c>
      <c r="B43" s="22" t="s">
        <v>109</v>
      </c>
      <c r="C43" s="6" t="s">
        <v>11</v>
      </c>
      <c r="D43" s="9" t="s">
        <v>107</v>
      </c>
      <c r="E43" s="5" t="s">
        <v>13</v>
      </c>
      <c r="F43" s="5" t="s">
        <v>79</v>
      </c>
      <c r="G43" s="28">
        <v>2006</v>
      </c>
      <c r="H43" s="28">
        <v>2008</v>
      </c>
      <c r="I43" s="26">
        <v>10</v>
      </c>
      <c r="J43" s="15">
        <v>759126500573</v>
      </c>
      <c r="K43" s="6">
        <v>25.75</v>
      </c>
      <c r="L43" s="6">
        <v>11</v>
      </c>
      <c r="M43" s="6">
        <v>9</v>
      </c>
      <c r="N43" s="6">
        <v>7</v>
      </c>
    </row>
    <row r="44" spans="1:14" x14ac:dyDescent="0.3">
      <c r="A44" s="23" t="s">
        <v>110</v>
      </c>
      <c r="B44" s="22" t="s">
        <v>111</v>
      </c>
      <c r="C44" s="6" t="s">
        <v>11</v>
      </c>
      <c r="D44" s="9" t="s">
        <v>112</v>
      </c>
      <c r="E44" s="5" t="s">
        <v>13</v>
      </c>
      <c r="F44" s="5" t="s">
        <v>79</v>
      </c>
      <c r="G44" s="28">
        <v>2006</v>
      </c>
      <c r="H44" s="28">
        <v>2006</v>
      </c>
      <c r="I44" s="26"/>
      <c r="J44" s="15"/>
      <c r="K44" s="6"/>
      <c r="L44" s="6"/>
      <c r="M44" s="6"/>
      <c r="N44" s="6"/>
    </row>
    <row r="45" spans="1:14" x14ac:dyDescent="0.3">
      <c r="A45" s="21" t="s">
        <v>113</v>
      </c>
      <c r="B45" s="22" t="s">
        <v>114</v>
      </c>
      <c r="C45" s="7" t="s">
        <v>11</v>
      </c>
      <c r="D45" s="9" t="s">
        <v>112</v>
      </c>
      <c r="E45" s="5" t="s">
        <v>29</v>
      </c>
      <c r="F45" s="5" t="s">
        <v>30</v>
      </c>
      <c r="G45" s="27">
        <v>2006</v>
      </c>
      <c r="H45" s="27">
        <v>2011</v>
      </c>
      <c r="I45" s="26">
        <v>10</v>
      </c>
      <c r="J45" s="5"/>
      <c r="K45" s="5"/>
      <c r="L45" s="5"/>
      <c r="M45" s="5"/>
      <c r="N45" s="5"/>
    </row>
    <row r="46" spans="1:14" x14ac:dyDescent="0.3">
      <c r="A46" s="21" t="s">
        <v>115</v>
      </c>
      <c r="B46" s="22" t="s">
        <v>116</v>
      </c>
      <c r="C46" s="7" t="s">
        <v>11</v>
      </c>
      <c r="D46" s="9" t="s">
        <v>112</v>
      </c>
      <c r="E46" s="5" t="s">
        <v>29</v>
      </c>
      <c r="F46" s="5" t="s">
        <v>30</v>
      </c>
      <c r="G46" s="27">
        <v>2006</v>
      </c>
      <c r="H46" s="27">
        <v>2011</v>
      </c>
      <c r="I46" s="26">
        <v>10</v>
      </c>
      <c r="J46" s="5"/>
      <c r="K46" s="5"/>
      <c r="L46" s="5"/>
      <c r="M46" s="5"/>
      <c r="N46" s="5"/>
    </row>
    <row r="47" spans="1:14" x14ac:dyDescent="0.3">
      <c r="A47" s="23" t="s">
        <v>117</v>
      </c>
      <c r="B47" s="22" t="s">
        <v>118</v>
      </c>
      <c r="C47" s="6" t="s">
        <v>11</v>
      </c>
      <c r="D47" s="9" t="s">
        <v>112</v>
      </c>
      <c r="E47" s="5" t="s">
        <v>13</v>
      </c>
      <c r="F47" s="5" t="s">
        <v>14</v>
      </c>
      <c r="G47" s="28">
        <v>2006</v>
      </c>
      <c r="H47" s="28">
        <v>2008</v>
      </c>
      <c r="I47" s="26">
        <v>6</v>
      </c>
      <c r="J47" s="15">
        <v>759126530426</v>
      </c>
      <c r="K47" s="5">
        <v>13.5</v>
      </c>
      <c r="L47" s="5">
        <v>6</v>
      </c>
      <c r="M47" s="5">
        <v>8.25</v>
      </c>
      <c r="N47" s="5">
        <f>137.8-135.8</f>
        <v>2</v>
      </c>
    </row>
    <row r="48" spans="1:14" x14ac:dyDescent="0.3">
      <c r="A48" s="23" t="s">
        <v>119</v>
      </c>
      <c r="B48" s="22" t="s">
        <v>120</v>
      </c>
      <c r="C48" s="6" t="s">
        <v>11</v>
      </c>
      <c r="D48" s="9" t="s">
        <v>112</v>
      </c>
      <c r="E48" s="5" t="s">
        <v>13</v>
      </c>
      <c r="F48" s="5" t="s">
        <v>14</v>
      </c>
      <c r="G48" s="28">
        <v>2006</v>
      </c>
      <c r="H48" s="28">
        <v>2008</v>
      </c>
      <c r="I48" s="26">
        <v>6</v>
      </c>
      <c r="J48" s="15">
        <v>759126543037</v>
      </c>
      <c r="K48" s="5">
        <v>13.5</v>
      </c>
      <c r="L48" s="5">
        <v>6</v>
      </c>
      <c r="M48" s="5">
        <v>8.25</v>
      </c>
      <c r="N48" s="5">
        <f>137.8-135.8</f>
        <v>2</v>
      </c>
    </row>
    <row r="49" spans="1:14" x14ac:dyDescent="0.3">
      <c r="A49" s="23" t="s">
        <v>121</v>
      </c>
      <c r="B49" s="22" t="s">
        <v>122</v>
      </c>
      <c r="C49" s="6" t="s">
        <v>11</v>
      </c>
      <c r="D49" s="9" t="s">
        <v>112</v>
      </c>
      <c r="E49" s="5" t="s">
        <v>13</v>
      </c>
      <c r="F49" s="5" t="s">
        <v>14</v>
      </c>
      <c r="G49" s="28">
        <v>2006</v>
      </c>
      <c r="H49" s="28">
        <v>2008</v>
      </c>
      <c r="I49" s="26"/>
      <c r="J49" s="5"/>
      <c r="K49" s="5"/>
      <c r="L49" s="5"/>
      <c r="M49" s="5"/>
      <c r="N49" s="5"/>
    </row>
    <row r="50" spans="1:14" x14ac:dyDescent="0.3">
      <c r="A50" s="21" t="s">
        <v>123</v>
      </c>
      <c r="B50" s="22" t="s">
        <v>124</v>
      </c>
      <c r="C50" s="7" t="s">
        <v>11</v>
      </c>
      <c r="D50" s="8" t="s">
        <v>112</v>
      </c>
      <c r="E50" s="5" t="s">
        <v>33</v>
      </c>
      <c r="F50" s="5" t="s">
        <v>34</v>
      </c>
      <c r="G50" s="27">
        <v>2006</v>
      </c>
      <c r="H50" s="27">
        <v>2011</v>
      </c>
      <c r="I50" s="26">
        <v>10</v>
      </c>
      <c r="J50" s="5"/>
      <c r="K50" s="5"/>
      <c r="L50" s="5"/>
      <c r="M50" s="5"/>
      <c r="N50" s="5"/>
    </row>
    <row r="51" spans="1:14" x14ac:dyDescent="0.3">
      <c r="A51" s="21" t="s">
        <v>125</v>
      </c>
      <c r="B51" s="22" t="s">
        <v>126</v>
      </c>
      <c r="C51" s="5" t="s">
        <v>11</v>
      </c>
      <c r="D51" s="9" t="s">
        <v>39</v>
      </c>
      <c r="E51" s="5" t="s">
        <v>13</v>
      </c>
      <c r="F51" s="5" t="s">
        <v>14</v>
      </c>
      <c r="G51" s="20">
        <v>2006</v>
      </c>
      <c r="H51" s="20">
        <v>2007</v>
      </c>
      <c r="I51" s="26">
        <v>8</v>
      </c>
      <c r="J51" s="15">
        <v>759126521325</v>
      </c>
      <c r="K51" s="5">
        <v>19</v>
      </c>
      <c r="L51" s="5">
        <v>12</v>
      </c>
      <c r="M51" s="5">
        <v>7</v>
      </c>
      <c r="N51" s="5">
        <v>4</v>
      </c>
    </row>
    <row r="52" spans="1:14" x14ac:dyDescent="0.3">
      <c r="A52" s="21" t="s">
        <v>127</v>
      </c>
      <c r="B52" s="22" t="s">
        <v>128</v>
      </c>
      <c r="C52" s="5" t="s">
        <v>11</v>
      </c>
      <c r="D52" s="9" t="s">
        <v>39</v>
      </c>
      <c r="E52" s="5" t="s">
        <v>13</v>
      </c>
      <c r="F52" s="5" t="s">
        <v>14</v>
      </c>
      <c r="G52" s="26">
        <v>2006</v>
      </c>
      <c r="H52" s="26">
        <v>2007</v>
      </c>
      <c r="I52" s="26">
        <v>8</v>
      </c>
      <c r="J52" s="15">
        <v>759126523824</v>
      </c>
      <c r="K52" s="5">
        <v>19</v>
      </c>
      <c r="L52" s="5">
        <v>12</v>
      </c>
      <c r="M52" s="5">
        <v>7</v>
      </c>
      <c r="N52" s="5">
        <v>4</v>
      </c>
    </row>
    <row r="53" spans="1:14" x14ac:dyDescent="0.3">
      <c r="A53" s="21" t="s">
        <v>129</v>
      </c>
      <c r="B53" s="22" t="s">
        <v>130</v>
      </c>
      <c r="C53" s="5" t="s">
        <v>11</v>
      </c>
      <c r="D53" s="9" t="s">
        <v>39</v>
      </c>
      <c r="E53" s="5" t="s">
        <v>13</v>
      </c>
      <c r="F53" s="5" t="s">
        <v>14</v>
      </c>
      <c r="G53" s="26">
        <v>2006</v>
      </c>
      <c r="H53" s="26">
        <v>2007</v>
      </c>
      <c r="I53" s="26"/>
      <c r="J53" s="5"/>
      <c r="K53" s="5"/>
      <c r="L53" s="5"/>
      <c r="M53" s="5"/>
      <c r="N53" s="5"/>
    </row>
    <row r="54" spans="1:14" x14ac:dyDescent="0.3">
      <c r="A54" s="21" t="s">
        <v>131</v>
      </c>
      <c r="B54" s="22" t="s">
        <v>132</v>
      </c>
      <c r="C54" s="5" t="s">
        <v>11</v>
      </c>
      <c r="D54" s="9" t="s">
        <v>39</v>
      </c>
      <c r="E54" s="5" t="s">
        <v>13</v>
      </c>
      <c r="F54" s="5" t="s">
        <v>14</v>
      </c>
      <c r="G54" s="26">
        <v>2006</v>
      </c>
      <c r="H54" s="26">
        <v>2007</v>
      </c>
      <c r="I54" s="26">
        <v>4</v>
      </c>
      <c r="J54" s="15">
        <v>759126544003</v>
      </c>
      <c r="K54" s="5">
        <v>19</v>
      </c>
      <c r="L54" s="5">
        <v>12</v>
      </c>
      <c r="M54" s="5">
        <v>7.5</v>
      </c>
      <c r="N54" s="5">
        <v>4</v>
      </c>
    </row>
    <row r="55" spans="1:14" x14ac:dyDescent="0.3">
      <c r="A55" s="21" t="s">
        <v>133</v>
      </c>
      <c r="B55" s="22" t="s">
        <v>134</v>
      </c>
      <c r="C55" s="5" t="s">
        <v>11</v>
      </c>
      <c r="D55" s="9" t="s">
        <v>39</v>
      </c>
      <c r="E55" s="5" t="s">
        <v>13</v>
      </c>
      <c r="F55" s="5" t="s">
        <v>14</v>
      </c>
      <c r="G55" s="26">
        <v>2006</v>
      </c>
      <c r="H55" s="26">
        <v>2007</v>
      </c>
      <c r="I55" s="26">
        <v>4</v>
      </c>
      <c r="J55" s="15">
        <v>759126545055</v>
      </c>
      <c r="K55" s="5">
        <v>19</v>
      </c>
      <c r="L55" s="5">
        <v>12</v>
      </c>
      <c r="M55" s="5">
        <v>7.5</v>
      </c>
      <c r="N55" s="5">
        <v>4</v>
      </c>
    </row>
    <row r="56" spans="1:14" x14ac:dyDescent="0.3">
      <c r="A56" s="21" t="s">
        <v>135</v>
      </c>
      <c r="B56" s="22" t="s">
        <v>136</v>
      </c>
      <c r="C56" s="6" t="s">
        <v>11</v>
      </c>
      <c r="D56" s="9" t="s">
        <v>39</v>
      </c>
      <c r="E56" s="6" t="s">
        <v>13</v>
      </c>
      <c r="F56" s="6" t="s">
        <v>14</v>
      </c>
      <c r="G56" s="22">
        <v>2006</v>
      </c>
      <c r="H56" s="22">
        <v>2007</v>
      </c>
      <c r="I56" s="26"/>
      <c r="J56" s="16"/>
      <c r="K56" s="5"/>
      <c r="L56" s="5"/>
      <c r="M56" s="5"/>
      <c r="N56" s="5"/>
    </row>
    <row r="57" spans="1:14" x14ac:dyDescent="0.3">
      <c r="A57" s="24" t="s">
        <v>137</v>
      </c>
      <c r="B57" s="22" t="s">
        <v>138</v>
      </c>
      <c r="C57" s="5" t="s">
        <v>11</v>
      </c>
      <c r="D57" s="9" t="s">
        <v>39</v>
      </c>
      <c r="E57" s="5" t="s">
        <v>29</v>
      </c>
      <c r="F57" s="5" t="s">
        <v>30</v>
      </c>
      <c r="G57" s="26">
        <v>2006</v>
      </c>
      <c r="H57" s="26">
        <v>2007</v>
      </c>
      <c r="I57" s="26">
        <v>10</v>
      </c>
      <c r="J57" s="5"/>
      <c r="K57" s="5"/>
      <c r="L57" s="5"/>
      <c r="M57" s="5"/>
      <c r="N57" s="5"/>
    </row>
    <row r="58" spans="1:14" x14ac:dyDescent="0.3">
      <c r="A58" s="21" t="s">
        <v>139</v>
      </c>
      <c r="B58" s="22" t="s">
        <v>140</v>
      </c>
      <c r="C58" s="7" t="s">
        <v>27</v>
      </c>
      <c r="D58" s="8" t="s">
        <v>28</v>
      </c>
      <c r="E58" s="5" t="s">
        <v>33</v>
      </c>
      <c r="F58" s="5" t="s">
        <v>34</v>
      </c>
      <c r="G58" s="27">
        <v>2007</v>
      </c>
      <c r="H58" s="27">
        <v>2013</v>
      </c>
      <c r="I58" s="26">
        <v>10</v>
      </c>
      <c r="J58" s="5"/>
      <c r="K58" s="5"/>
      <c r="L58" s="5"/>
      <c r="M58" s="5"/>
      <c r="N58" s="5"/>
    </row>
    <row r="59" spans="1:14" x14ac:dyDescent="0.3">
      <c r="A59" s="21" t="s">
        <v>141</v>
      </c>
      <c r="B59" s="22" t="s">
        <v>142</v>
      </c>
      <c r="C59" s="7" t="s">
        <v>11</v>
      </c>
      <c r="D59" s="8" t="s">
        <v>52</v>
      </c>
      <c r="E59" s="5" t="s">
        <v>29</v>
      </c>
      <c r="F59" s="5" t="s">
        <v>30</v>
      </c>
      <c r="G59" s="27">
        <v>2007</v>
      </c>
      <c r="H59" s="27">
        <v>2011</v>
      </c>
      <c r="I59" s="26">
        <v>10</v>
      </c>
      <c r="J59" s="5"/>
      <c r="K59" s="5"/>
      <c r="L59" s="5"/>
      <c r="M59" s="5"/>
      <c r="N59" s="5"/>
    </row>
    <row r="60" spans="1:14" x14ac:dyDescent="0.3">
      <c r="A60" s="21" t="s">
        <v>143</v>
      </c>
      <c r="B60" s="22" t="s">
        <v>144</v>
      </c>
      <c r="C60" s="7" t="s">
        <v>11</v>
      </c>
      <c r="D60" s="8" t="s">
        <v>52</v>
      </c>
      <c r="E60" s="5" t="s">
        <v>29</v>
      </c>
      <c r="F60" s="5" t="s">
        <v>30</v>
      </c>
      <c r="G60" s="27">
        <v>2007</v>
      </c>
      <c r="H60" s="27">
        <v>2011</v>
      </c>
      <c r="I60" s="26">
        <v>10</v>
      </c>
      <c r="J60" s="5"/>
      <c r="K60" s="5"/>
      <c r="L60" s="5"/>
      <c r="M60" s="5"/>
      <c r="N60" s="5"/>
    </row>
    <row r="61" spans="1:14" x14ac:dyDescent="0.3">
      <c r="A61" s="21" t="s">
        <v>145</v>
      </c>
      <c r="B61" s="22" t="s">
        <v>146</v>
      </c>
      <c r="C61" s="7" t="s">
        <v>11</v>
      </c>
      <c r="D61" s="8" t="s">
        <v>52</v>
      </c>
      <c r="E61" s="5" t="s">
        <v>29</v>
      </c>
      <c r="F61" s="5" t="s">
        <v>30</v>
      </c>
      <c r="G61" s="27">
        <v>2007</v>
      </c>
      <c r="H61" s="27">
        <v>2011</v>
      </c>
      <c r="I61" s="26"/>
      <c r="J61" s="5"/>
      <c r="K61" s="5"/>
      <c r="L61" s="5"/>
      <c r="M61" s="5"/>
      <c r="N61" s="5"/>
    </row>
    <row r="62" spans="1:14" x14ac:dyDescent="0.3">
      <c r="A62" s="23" t="s">
        <v>147</v>
      </c>
      <c r="B62" s="22" t="s">
        <v>148</v>
      </c>
      <c r="C62" s="6" t="s">
        <v>11</v>
      </c>
      <c r="D62" s="8" t="s">
        <v>52</v>
      </c>
      <c r="E62" s="6" t="s">
        <v>13</v>
      </c>
      <c r="F62" s="6" t="s">
        <v>72</v>
      </c>
      <c r="G62" s="28">
        <v>2007</v>
      </c>
      <c r="H62" s="28">
        <v>2009</v>
      </c>
      <c r="I62" s="26">
        <v>8</v>
      </c>
      <c r="J62" s="15">
        <v>759126667801</v>
      </c>
      <c r="K62" s="5">
        <v>9.5</v>
      </c>
      <c r="L62" s="5">
        <v>7.5</v>
      </c>
      <c r="M62" s="5">
        <v>4.75</v>
      </c>
      <c r="N62" s="5">
        <v>1.3</v>
      </c>
    </row>
    <row r="63" spans="1:14" x14ac:dyDescent="0.3">
      <c r="A63" s="23" t="s">
        <v>149</v>
      </c>
      <c r="B63" s="22" t="s">
        <v>150</v>
      </c>
      <c r="C63" s="6" t="s">
        <v>11</v>
      </c>
      <c r="D63" s="8" t="s">
        <v>52</v>
      </c>
      <c r="E63" s="6" t="s">
        <v>13</v>
      </c>
      <c r="F63" s="6" t="s">
        <v>72</v>
      </c>
      <c r="G63" s="28">
        <v>2007</v>
      </c>
      <c r="H63" s="28">
        <v>2009</v>
      </c>
      <c r="I63" s="26">
        <v>8</v>
      </c>
      <c r="J63" s="15">
        <v>759126669935</v>
      </c>
      <c r="K63" s="5">
        <v>9.5</v>
      </c>
      <c r="L63" s="5">
        <v>7.5</v>
      </c>
      <c r="M63" s="5">
        <v>4.75</v>
      </c>
      <c r="N63" s="5">
        <v>1.3</v>
      </c>
    </row>
    <row r="64" spans="1:14" x14ac:dyDescent="0.3">
      <c r="A64" s="23" t="s">
        <v>151</v>
      </c>
      <c r="B64" s="22" t="s">
        <v>152</v>
      </c>
      <c r="C64" s="6" t="s">
        <v>11</v>
      </c>
      <c r="D64" s="9" t="s">
        <v>52</v>
      </c>
      <c r="E64" s="6" t="s">
        <v>13</v>
      </c>
      <c r="F64" s="6" t="s">
        <v>72</v>
      </c>
      <c r="G64" s="28">
        <v>2007</v>
      </c>
      <c r="H64" s="28">
        <v>2009</v>
      </c>
      <c r="I64" s="26"/>
      <c r="J64" s="15"/>
      <c r="K64" s="5"/>
      <c r="L64" s="5"/>
      <c r="M64" s="5"/>
      <c r="N64" s="5"/>
    </row>
    <row r="65" spans="1:14" x14ac:dyDescent="0.3">
      <c r="A65" s="23" t="s">
        <v>153</v>
      </c>
      <c r="B65" s="22" t="s">
        <v>154</v>
      </c>
      <c r="C65" s="6" t="s">
        <v>11</v>
      </c>
      <c r="D65" s="8" t="s">
        <v>52</v>
      </c>
      <c r="E65" s="6" t="s">
        <v>13</v>
      </c>
      <c r="F65" s="6" t="s">
        <v>79</v>
      </c>
      <c r="G65" s="28">
        <v>2007</v>
      </c>
      <c r="H65" s="28">
        <v>2011</v>
      </c>
      <c r="I65" s="26">
        <v>8</v>
      </c>
      <c r="J65" s="15">
        <v>759126605711</v>
      </c>
      <c r="K65" s="6">
        <v>30.5</v>
      </c>
      <c r="L65" s="6">
        <v>11.5</v>
      </c>
      <c r="M65" s="6">
        <v>13.5</v>
      </c>
      <c r="N65" s="6">
        <v>8</v>
      </c>
    </row>
    <row r="66" spans="1:14" x14ac:dyDescent="0.3">
      <c r="A66" s="23" t="s">
        <v>155</v>
      </c>
      <c r="B66" s="22" t="s">
        <v>156</v>
      </c>
      <c r="C66" s="6" t="s">
        <v>11</v>
      </c>
      <c r="D66" s="8" t="s">
        <v>52</v>
      </c>
      <c r="E66" s="6" t="s">
        <v>13</v>
      </c>
      <c r="F66" s="6" t="s">
        <v>79</v>
      </c>
      <c r="G66" s="28">
        <v>2007</v>
      </c>
      <c r="H66" s="28">
        <v>2011</v>
      </c>
      <c r="I66" s="26">
        <v>8</v>
      </c>
      <c r="J66" s="15">
        <v>759126608699</v>
      </c>
      <c r="K66" s="6">
        <v>30.5</v>
      </c>
      <c r="L66" s="6">
        <v>11.5</v>
      </c>
      <c r="M66" s="6">
        <v>13.5</v>
      </c>
      <c r="N66" s="6">
        <v>8</v>
      </c>
    </row>
    <row r="67" spans="1:14" x14ac:dyDescent="0.3">
      <c r="A67" s="23" t="s">
        <v>157</v>
      </c>
      <c r="B67" s="22" t="s">
        <v>158</v>
      </c>
      <c r="C67" s="6" t="s">
        <v>11</v>
      </c>
      <c r="D67" s="8" t="s">
        <v>52</v>
      </c>
      <c r="E67" s="6" t="s">
        <v>13</v>
      </c>
      <c r="F67" s="6" t="s">
        <v>79</v>
      </c>
      <c r="G67" s="28">
        <v>2007</v>
      </c>
      <c r="H67" s="28">
        <v>2011</v>
      </c>
      <c r="I67" s="26"/>
      <c r="J67" s="15"/>
      <c r="K67" s="6"/>
      <c r="L67" s="6"/>
      <c r="M67" s="6"/>
      <c r="N67" s="6"/>
    </row>
    <row r="68" spans="1:14" x14ac:dyDescent="0.3">
      <c r="A68" s="23" t="s">
        <v>159</v>
      </c>
      <c r="B68" s="22" t="s">
        <v>160</v>
      </c>
      <c r="C68" s="6" t="s">
        <v>11</v>
      </c>
      <c r="D68" s="8" t="s">
        <v>52</v>
      </c>
      <c r="E68" s="5" t="s">
        <v>13</v>
      </c>
      <c r="F68" s="5" t="s">
        <v>14</v>
      </c>
      <c r="G68" s="28">
        <v>2007</v>
      </c>
      <c r="H68" s="28">
        <v>2011</v>
      </c>
      <c r="I68" s="26">
        <v>8</v>
      </c>
      <c r="J68" s="16">
        <v>759126551087</v>
      </c>
      <c r="K68" s="5">
        <v>35</v>
      </c>
      <c r="L68" s="5">
        <v>11.5</v>
      </c>
      <c r="M68" s="5">
        <v>12</v>
      </c>
      <c r="N68" s="5">
        <f>143.2-135.2</f>
        <v>8</v>
      </c>
    </row>
    <row r="69" spans="1:14" x14ac:dyDescent="0.3">
      <c r="A69" s="23" t="s">
        <v>161</v>
      </c>
      <c r="B69" s="22" t="s">
        <v>162</v>
      </c>
      <c r="C69" s="6" t="s">
        <v>11</v>
      </c>
      <c r="D69" s="8" t="s">
        <v>52</v>
      </c>
      <c r="E69" s="5" t="s">
        <v>13</v>
      </c>
      <c r="F69" s="5" t="s">
        <v>14</v>
      </c>
      <c r="G69" s="28">
        <v>2007</v>
      </c>
      <c r="H69" s="28">
        <v>2011</v>
      </c>
      <c r="I69" s="26">
        <v>8</v>
      </c>
      <c r="J69" s="16">
        <v>759126551872</v>
      </c>
      <c r="K69" s="5">
        <v>35</v>
      </c>
      <c r="L69" s="5">
        <v>11.5</v>
      </c>
      <c r="M69" s="5">
        <v>12</v>
      </c>
      <c r="N69" s="5">
        <f>143.2-135.2</f>
        <v>8</v>
      </c>
    </row>
    <row r="70" spans="1:14" x14ac:dyDescent="0.3">
      <c r="A70" s="23" t="s">
        <v>163</v>
      </c>
      <c r="B70" s="22" t="s">
        <v>164</v>
      </c>
      <c r="C70" s="6" t="s">
        <v>11</v>
      </c>
      <c r="D70" s="8" t="s">
        <v>52</v>
      </c>
      <c r="E70" s="5" t="s">
        <v>13</v>
      </c>
      <c r="F70" s="5" t="s">
        <v>14</v>
      </c>
      <c r="G70" s="28">
        <v>2007</v>
      </c>
      <c r="H70" s="28">
        <v>2011</v>
      </c>
      <c r="I70" s="26"/>
      <c r="J70" s="16"/>
      <c r="K70" s="5"/>
      <c r="L70" s="5"/>
      <c r="M70" s="5"/>
      <c r="N70" s="5"/>
    </row>
    <row r="71" spans="1:14" x14ac:dyDescent="0.3">
      <c r="A71" s="21" t="s">
        <v>165</v>
      </c>
      <c r="B71" s="22" t="s">
        <v>166</v>
      </c>
      <c r="C71" s="5" t="s">
        <v>11</v>
      </c>
      <c r="D71" s="9" t="s">
        <v>39</v>
      </c>
      <c r="E71" s="5" t="s">
        <v>29</v>
      </c>
      <c r="F71" s="5" t="s">
        <v>104</v>
      </c>
      <c r="G71" s="26">
        <v>2008</v>
      </c>
      <c r="H71" s="26">
        <v>2010</v>
      </c>
      <c r="I71" s="26">
        <v>10</v>
      </c>
      <c r="J71" s="5"/>
      <c r="K71" s="5"/>
      <c r="L71" s="5"/>
      <c r="M71" s="5"/>
      <c r="N71" s="5"/>
    </row>
    <row r="72" spans="1:14" x14ac:dyDescent="0.3">
      <c r="A72" s="21" t="s">
        <v>167</v>
      </c>
      <c r="B72" s="22" t="s">
        <v>168</v>
      </c>
      <c r="C72" s="5" t="s">
        <v>11</v>
      </c>
      <c r="D72" s="9" t="s">
        <v>39</v>
      </c>
      <c r="E72" s="5" t="s">
        <v>13</v>
      </c>
      <c r="F72" s="5" t="s">
        <v>14</v>
      </c>
      <c r="G72" s="26">
        <v>2008</v>
      </c>
      <c r="H72" s="26">
        <v>2012</v>
      </c>
      <c r="I72" s="26">
        <v>10</v>
      </c>
      <c r="J72" s="16">
        <v>759126557805</v>
      </c>
      <c r="K72" s="5">
        <v>23.25</v>
      </c>
      <c r="L72" s="5">
        <v>9.25</v>
      </c>
      <c r="M72" s="5">
        <v>10.25</v>
      </c>
      <c r="N72" s="5">
        <f>139.6-135.8</f>
        <v>3.7999999999999829</v>
      </c>
    </row>
    <row r="73" spans="1:14" x14ac:dyDescent="0.3">
      <c r="A73" s="26" t="s">
        <v>169</v>
      </c>
      <c r="B73" s="22" t="s">
        <v>170</v>
      </c>
      <c r="C73" s="5" t="s">
        <v>11</v>
      </c>
      <c r="D73" s="9" t="s">
        <v>39</v>
      </c>
      <c r="E73" s="5" t="s">
        <v>13</v>
      </c>
      <c r="F73" s="5" t="s">
        <v>14</v>
      </c>
      <c r="G73" s="26">
        <v>2008</v>
      </c>
      <c r="H73" s="26">
        <v>2012</v>
      </c>
      <c r="I73" s="26">
        <v>10</v>
      </c>
      <c r="J73" s="16">
        <v>759126559366</v>
      </c>
      <c r="K73" s="5">
        <v>23.25</v>
      </c>
      <c r="L73" s="5">
        <v>9.25</v>
      </c>
      <c r="M73" s="5">
        <v>10.25</v>
      </c>
      <c r="N73" s="5">
        <v>3.6</v>
      </c>
    </row>
    <row r="74" spans="1:14" x14ac:dyDescent="0.3">
      <c r="A74" s="26" t="s">
        <v>171</v>
      </c>
      <c r="B74" s="26" t="s">
        <v>172</v>
      </c>
      <c r="C74" s="5" t="s">
        <v>11</v>
      </c>
      <c r="D74" s="9" t="s">
        <v>39</v>
      </c>
      <c r="E74" s="5" t="s">
        <v>13</v>
      </c>
      <c r="F74" s="5" t="s">
        <v>14</v>
      </c>
      <c r="G74" s="26">
        <v>2008</v>
      </c>
      <c r="H74" s="26">
        <v>2012</v>
      </c>
      <c r="I74" s="26"/>
      <c r="J74" s="16"/>
      <c r="K74" s="5"/>
      <c r="L74" s="5"/>
      <c r="M74" s="5"/>
      <c r="N74" s="5"/>
    </row>
    <row r="75" spans="1:14" x14ac:dyDescent="0.3">
      <c r="A75" s="24" t="s">
        <v>173</v>
      </c>
      <c r="B75" s="22" t="s">
        <v>174</v>
      </c>
      <c r="C75" s="10" t="s">
        <v>11</v>
      </c>
      <c r="D75" s="9" t="s">
        <v>39</v>
      </c>
      <c r="E75" s="5" t="s">
        <v>29</v>
      </c>
      <c r="F75" s="5" t="s">
        <v>30</v>
      </c>
      <c r="G75" s="25">
        <v>2008</v>
      </c>
      <c r="H75" s="25">
        <v>2012</v>
      </c>
      <c r="I75" s="26">
        <v>10</v>
      </c>
      <c r="J75" s="5"/>
      <c r="K75" s="5"/>
      <c r="L75" s="5"/>
      <c r="M75" s="5"/>
      <c r="N75" s="5"/>
    </row>
    <row r="76" spans="1:14" x14ac:dyDescent="0.3">
      <c r="A76" s="24" t="s">
        <v>175</v>
      </c>
      <c r="B76" s="22" t="s">
        <v>176</v>
      </c>
      <c r="C76" s="10" t="s">
        <v>11</v>
      </c>
      <c r="D76" s="9" t="s">
        <v>39</v>
      </c>
      <c r="E76" s="5" t="s">
        <v>29</v>
      </c>
      <c r="F76" s="5" t="s">
        <v>30</v>
      </c>
      <c r="G76" s="25">
        <v>2008</v>
      </c>
      <c r="H76" s="25">
        <v>2012</v>
      </c>
      <c r="I76" s="26">
        <v>10</v>
      </c>
      <c r="J76" s="5"/>
      <c r="K76" s="5"/>
      <c r="L76" s="5"/>
      <c r="M76" s="5"/>
      <c r="N76" s="5"/>
    </row>
    <row r="77" spans="1:14" x14ac:dyDescent="0.3">
      <c r="A77" s="25" t="s">
        <v>177</v>
      </c>
      <c r="B77" s="26" t="s">
        <v>178</v>
      </c>
      <c r="C77" s="10" t="s">
        <v>11</v>
      </c>
      <c r="D77" s="9" t="s">
        <v>39</v>
      </c>
      <c r="E77" s="5" t="s">
        <v>29</v>
      </c>
      <c r="F77" s="5" t="s">
        <v>30</v>
      </c>
      <c r="G77" s="25">
        <v>2008</v>
      </c>
      <c r="H77" s="25">
        <v>2012</v>
      </c>
      <c r="I77" s="26">
        <v>10</v>
      </c>
      <c r="J77" s="5"/>
      <c r="K77" s="5"/>
      <c r="L77" s="5"/>
      <c r="M77" s="5"/>
      <c r="N77" s="5"/>
    </row>
    <row r="78" spans="1:14" x14ac:dyDescent="0.3">
      <c r="A78" s="25" t="s">
        <v>179</v>
      </c>
      <c r="B78" s="26" t="s">
        <v>180</v>
      </c>
      <c r="C78" s="10" t="s">
        <v>11</v>
      </c>
      <c r="D78" s="9" t="s">
        <v>39</v>
      </c>
      <c r="E78" s="5" t="s">
        <v>29</v>
      </c>
      <c r="F78" s="5" t="s">
        <v>30</v>
      </c>
      <c r="G78" s="25">
        <v>2008</v>
      </c>
      <c r="H78" s="25">
        <v>2012</v>
      </c>
      <c r="I78" s="26">
        <v>10</v>
      </c>
      <c r="J78" s="5"/>
      <c r="K78" s="5"/>
      <c r="L78" s="5"/>
      <c r="M78" s="5"/>
      <c r="N78" s="5"/>
    </row>
    <row r="79" spans="1:14" x14ac:dyDescent="0.3">
      <c r="A79" s="20" t="s">
        <v>181</v>
      </c>
      <c r="B79" s="22" t="s">
        <v>182</v>
      </c>
      <c r="C79" s="3" t="s">
        <v>11</v>
      </c>
      <c r="D79" s="9" t="s">
        <v>39</v>
      </c>
      <c r="E79" s="5" t="s">
        <v>13</v>
      </c>
      <c r="F79" s="5" t="s">
        <v>72</v>
      </c>
      <c r="G79" s="20">
        <v>2008</v>
      </c>
      <c r="H79" s="20">
        <v>2010</v>
      </c>
      <c r="I79" s="26">
        <v>10</v>
      </c>
      <c r="J79" s="15">
        <v>759126691479</v>
      </c>
      <c r="K79" s="5">
        <v>13.25</v>
      </c>
      <c r="L79" s="5">
        <v>12</v>
      </c>
      <c r="M79" s="5">
        <v>6.25</v>
      </c>
      <c r="N79" s="5">
        <v>2.2000000000000002</v>
      </c>
    </row>
    <row r="80" spans="1:14" x14ac:dyDescent="0.3">
      <c r="A80" s="20" t="s">
        <v>183</v>
      </c>
      <c r="B80" s="22" t="s">
        <v>184</v>
      </c>
      <c r="C80" s="3" t="s">
        <v>11</v>
      </c>
      <c r="D80" s="9" t="s">
        <v>39</v>
      </c>
      <c r="E80" s="5" t="s">
        <v>13</v>
      </c>
      <c r="F80" s="5" t="s">
        <v>72</v>
      </c>
      <c r="G80" s="20">
        <v>2008</v>
      </c>
      <c r="H80" s="20">
        <v>2010</v>
      </c>
      <c r="I80" s="26">
        <v>10</v>
      </c>
      <c r="J80" s="15">
        <v>759126704285</v>
      </c>
      <c r="K80" s="5">
        <v>13.25</v>
      </c>
      <c r="L80" s="5">
        <v>12</v>
      </c>
      <c r="M80" s="5">
        <v>6.25</v>
      </c>
      <c r="N80" s="5">
        <v>2.2000000000000002</v>
      </c>
    </row>
    <row r="81" spans="1:14" x14ac:dyDescent="0.3">
      <c r="A81" s="20" t="s">
        <v>185</v>
      </c>
      <c r="B81" s="22" t="s">
        <v>186</v>
      </c>
      <c r="C81" s="3" t="s">
        <v>11</v>
      </c>
      <c r="D81" s="9" t="s">
        <v>39</v>
      </c>
      <c r="E81" s="5" t="s">
        <v>13</v>
      </c>
      <c r="F81" s="5" t="s">
        <v>72</v>
      </c>
      <c r="G81" s="20">
        <v>2008</v>
      </c>
      <c r="H81" s="20">
        <v>2010</v>
      </c>
      <c r="I81" s="26"/>
      <c r="J81" s="15"/>
      <c r="K81" s="5"/>
      <c r="L81" s="5"/>
      <c r="M81" s="5"/>
      <c r="N81" s="5"/>
    </row>
    <row r="82" spans="1:14" x14ac:dyDescent="0.3">
      <c r="A82" s="20" t="s">
        <v>187</v>
      </c>
      <c r="B82" s="26" t="s">
        <v>188</v>
      </c>
      <c r="C82" s="3" t="s">
        <v>11</v>
      </c>
      <c r="D82" s="9" t="s">
        <v>39</v>
      </c>
      <c r="E82" s="5" t="s">
        <v>13</v>
      </c>
      <c r="F82" s="5" t="s">
        <v>79</v>
      </c>
      <c r="G82" s="20">
        <v>2008</v>
      </c>
      <c r="H82" s="20">
        <v>2012</v>
      </c>
      <c r="I82" s="26">
        <v>10</v>
      </c>
      <c r="J82" s="15">
        <v>759126617738</v>
      </c>
      <c r="K82" s="6">
        <v>31.5</v>
      </c>
      <c r="L82" s="6">
        <v>11</v>
      </c>
      <c r="M82" s="6">
        <v>13</v>
      </c>
      <c r="N82" s="6">
        <v>9</v>
      </c>
    </row>
    <row r="83" spans="1:14" x14ac:dyDescent="0.3">
      <c r="A83" s="20" t="s">
        <v>189</v>
      </c>
      <c r="B83" s="26" t="s">
        <v>190</v>
      </c>
      <c r="C83" s="3" t="s">
        <v>11</v>
      </c>
      <c r="D83" s="9" t="s">
        <v>39</v>
      </c>
      <c r="E83" s="5" t="s">
        <v>13</v>
      </c>
      <c r="F83" s="5" t="s">
        <v>79</v>
      </c>
      <c r="G83" s="20">
        <v>2008</v>
      </c>
      <c r="H83" s="20">
        <v>2012</v>
      </c>
      <c r="I83" s="26">
        <v>10</v>
      </c>
      <c r="J83" s="15">
        <v>759126623289</v>
      </c>
      <c r="K83" s="6">
        <v>31.5</v>
      </c>
      <c r="L83" s="6">
        <v>11</v>
      </c>
      <c r="M83" s="6">
        <v>13</v>
      </c>
      <c r="N83" s="6">
        <v>9</v>
      </c>
    </row>
    <row r="84" spans="1:14" x14ac:dyDescent="0.3">
      <c r="A84" s="20" t="s">
        <v>191</v>
      </c>
      <c r="B84" s="26" t="s">
        <v>192</v>
      </c>
      <c r="C84" s="3" t="s">
        <v>11</v>
      </c>
      <c r="D84" s="9" t="s">
        <v>39</v>
      </c>
      <c r="E84" s="5" t="s">
        <v>13</v>
      </c>
      <c r="F84" s="5" t="s">
        <v>79</v>
      </c>
      <c r="G84" s="20">
        <v>2008</v>
      </c>
      <c r="H84" s="20">
        <v>2012</v>
      </c>
      <c r="I84" s="26"/>
      <c r="J84" s="15"/>
      <c r="K84" s="6"/>
      <c r="L84" s="6"/>
      <c r="M84" s="6"/>
      <c r="N84" s="6"/>
    </row>
    <row r="85" spans="1:14" x14ac:dyDescent="0.3">
      <c r="A85" s="25" t="s">
        <v>193</v>
      </c>
      <c r="B85" s="26" t="s">
        <v>194</v>
      </c>
      <c r="C85" s="10" t="s">
        <v>11</v>
      </c>
      <c r="D85" s="9" t="s">
        <v>39</v>
      </c>
      <c r="E85" s="5" t="s">
        <v>33</v>
      </c>
      <c r="F85" s="5" t="s">
        <v>34</v>
      </c>
      <c r="G85" s="25">
        <v>2008</v>
      </c>
      <c r="H85" s="25">
        <v>2010</v>
      </c>
      <c r="I85" s="26">
        <v>10</v>
      </c>
      <c r="J85" s="5"/>
      <c r="K85" s="5"/>
      <c r="L85" s="5"/>
      <c r="M85" s="5"/>
      <c r="N85" s="5"/>
    </row>
    <row r="86" spans="1:14" x14ac:dyDescent="0.3">
      <c r="A86" s="25" t="s">
        <v>195</v>
      </c>
      <c r="B86" s="25" t="s">
        <v>196</v>
      </c>
      <c r="C86" s="10" t="s">
        <v>11</v>
      </c>
      <c r="D86" s="11" t="s">
        <v>39</v>
      </c>
      <c r="E86" s="5" t="s">
        <v>29</v>
      </c>
      <c r="F86" s="5" t="s">
        <v>104</v>
      </c>
      <c r="G86" s="25">
        <v>2008</v>
      </c>
      <c r="H86" s="25">
        <v>2010</v>
      </c>
      <c r="I86" s="26">
        <v>10</v>
      </c>
      <c r="J86" s="5"/>
      <c r="K86" s="5"/>
      <c r="L86" s="5"/>
      <c r="M86" s="5"/>
      <c r="N86" s="5"/>
    </row>
    <row r="87" spans="1:14" x14ac:dyDescent="0.3">
      <c r="A87" s="27" t="s">
        <v>197</v>
      </c>
      <c r="B87" s="22" t="s">
        <v>198</v>
      </c>
      <c r="C87" s="7" t="s">
        <v>11</v>
      </c>
      <c r="D87" s="8" t="s">
        <v>112</v>
      </c>
      <c r="E87" s="6" t="s">
        <v>29</v>
      </c>
      <c r="F87" s="6" t="s">
        <v>104</v>
      </c>
      <c r="G87" s="27">
        <v>2009</v>
      </c>
      <c r="H87" s="27">
        <v>2011</v>
      </c>
      <c r="I87" s="22">
        <v>10</v>
      </c>
      <c r="J87" s="6"/>
      <c r="K87" s="6"/>
      <c r="L87" s="6"/>
      <c r="M87" s="6"/>
      <c r="N87" s="6"/>
    </row>
    <row r="88" spans="1:14" x14ac:dyDescent="0.3">
      <c r="A88" s="28" t="s">
        <v>199</v>
      </c>
      <c r="B88" s="22" t="s">
        <v>200</v>
      </c>
      <c r="C88" s="6" t="s">
        <v>11</v>
      </c>
      <c r="D88" s="9" t="s">
        <v>112</v>
      </c>
      <c r="E88" s="5" t="s">
        <v>13</v>
      </c>
      <c r="F88" s="5" t="s">
        <v>14</v>
      </c>
      <c r="G88" s="28">
        <v>2009</v>
      </c>
      <c r="H88" s="28">
        <v>2011</v>
      </c>
      <c r="I88" s="26">
        <v>8</v>
      </c>
      <c r="J88" s="16">
        <v>759126567132</v>
      </c>
      <c r="K88" s="5">
        <v>13.5</v>
      </c>
      <c r="L88" s="5">
        <v>6</v>
      </c>
      <c r="M88" s="5">
        <v>8.25</v>
      </c>
      <c r="N88" s="5">
        <f>137.8-135.8</f>
        <v>2</v>
      </c>
    </row>
    <row r="89" spans="1:14" x14ac:dyDescent="0.3">
      <c r="A89" s="28" t="s">
        <v>201</v>
      </c>
      <c r="B89" s="22" t="s">
        <v>200</v>
      </c>
      <c r="C89" s="6" t="s">
        <v>11</v>
      </c>
      <c r="D89" s="9" t="s">
        <v>112</v>
      </c>
      <c r="E89" s="5" t="s">
        <v>13</v>
      </c>
      <c r="F89" s="5" t="s">
        <v>14</v>
      </c>
      <c r="G89" s="28">
        <v>2009</v>
      </c>
      <c r="H89" s="28">
        <v>2011</v>
      </c>
      <c r="I89" s="26">
        <v>8</v>
      </c>
      <c r="J89" s="16">
        <v>759126568795</v>
      </c>
      <c r="K89" s="5">
        <v>13.5</v>
      </c>
      <c r="L89" s="5">
        <v>6</v>
      </c>
      <c r="M89" s="5">
        <v>8.25</v>
      </c>
      <c r="N89" s="5">
        <f>137.8-135.8</f>
        <v>2</v>
      </c>
    </row>
    <row r="90" spans="1:14" x14ac:dyDescent="0.3">
      <c r="A90" s="28" t="s">
        <v>202</v>
      </c>
      <c r="B90" s="22" t="s">
        <v>203</v>
      </c>
      <c r="C90" s="6" t="s">
        <v>11</v>
      </c>
      <c r="D90" s="9" t="s">
        <v>112</v>
      </c>
      <c r="E90" s="5" t="s">
        <v>13</v>
      </c>
      <c r="F90" s="5" t="s">
        <v>14</v>
      </c>
      <c r="G90" s="28">
        <v>2009</v>
      </c>
      <c r="H90" s="28">
        <v>2011</v>
      </c>
      <c r="I90" s="26"/>
      <c r="J90" s="16"/>
      <c r="K90" s="5"/>
      <c r="L90" s="5"/>
      <c r="M90" s="5"/>
      <c r="N90" s="5"/>
    </row>
    <row r="91" spans="1:14" x14ac:dyDescent="0.3">
      <c r="A91" s="20" t="s">
        <v>204</v>
      </c>
      <c r="B91" s="20" t="s">
        <v>205</v>
      </c>
      <c r="C91" s="3" t="s">
        <v>27</v>
      </c>
      <c r="D91" s="12" t="s">
        <v>206</v>
      </c>
      <c r="E91" s="5" t="s">
        <v>13</v>
      </c>
      <c r="F91" s="5" t="s">
        <v>72</v>
      </c>
      <c r="G91" s="20">
        <v>2009</v>
      </c>
      <c r="H91" s="20">
        <v>2010</v>
      </c>
      <c r="I91" s="26">
        <v>6</v>
      </c>
      <c r="J91" s="15">
        <v>759126710170</v>
      </c>
      <c r="K91" s="5">
        <v>8.5</v>
      </c>
      <c r="L91" s="5">
        <v>5.75</v>
      </c>
      <c r="M91" s="5">
        <v>4.25</v>
      </c>
      <c r="N91" s="5">
        <v>1</v>
      </c>
    </row>
    <row r="92" spans="1:14" x14ac:dyDescent="0.3">
      <c r="A92" s="20" t="s">
        <v>207</v>
      </c>
      <c r="B92" s="20" t="s">
        <v>208</v>
      </c>
      <c r="C92" s="3" t="s">
        <v>27</v>
      </c>
      <c r="D92" s="12" t="s">
        <v>206</v>
      </c>
      <c r="E92" s="5" t="s">
        <v>13</v>
      </c>
      <c r="F92" s="5" t="s">
        <v>72</v>
      </c>
      <c r="G92" s="20">
        <v>2009</v>
      </c>
      <c r="H92" s="20">
        <v>2010</v>
      </c>
      <c r="I92" s="26">
        <v>6</v>
      </c>
      <c r="J92" s="15">
        <v>759126712754</v>
      </c>
      <c r="K92" s="5">
        <v>8.5</v>
      </c>
      <c r="L92" s="5">
        <v>5.75</v>
      </c>
      <c r="M92" s="5">
        <v>4.25</v>
      </c>
      <c r="N92" s="5">
        <v>1</v>
      </c>
    </row>
    <row r="93" spans="1:14" x14ac:dyDescent="0.3">
      <c r="A93" s="20" t="s">
        <v>209</v>
      </c>
      <c r="B93" s="20" t="s">
        <v>210</v>
      </c>
      <c r="C93" s="3" t="s">
        <v>27</v>
      </c>
      <c r="D93" s="12" t="s">
        <v>206</v>
      </c>
      <c r="E93" s="5" t="s">
        <v>13</v>
      </c>
      <c r="F93" s="5" t="s">
        <v>72</v>
      </c>
      <c r="G93" s="20">
        <v>2009</v>
      </c>
      <c r="H93" s="20">
        <v>2010</v>
      </c>
      <c r="I93" s="26"/>
      <c r="J93" s="15"/>
      <c r="K93" s="5"/>
      <c r="L93" s="5"/>
      <c r="M93" s="5"/>
      <c r="N93" s="5"/>
    </row>
    <row r="94" spans="1:14" x14ac:dyDescent="0.3">
      <c r="A94" s="29" t="s">
        <v>211</v>
      </c>
      <c r="B94" s="30" t="s">
        <v>212</v>
      </c>
      <c r="C94" s="5" t="s">
        <v>27</v>
      </c>
      <c r="D94" s="12" t="s">
        <v>206</v>
      </c>
      <c r="E94" s="5" t="s">
        <v>13</v>
      </c>
      <c r="F94" s="5" t="s">
        <v>79</v>
      </c>
      <c r="G94" s="29">
        <v>2009</v>
      </c>
      <c r="H94" s="29">
        <v>2014</v>
      </c>
      <c r="I94" s="26">
        <v>10</v>
      </c>
      <c r="J94" s="15">
        <v>759126626129</v>
      </c>
      <c r="K94" s="6">
        <v>31</v>
      </c>
      <c r="L94" s="6">
        <v>11</v>
      </c>
      <c r="M94" s="6">
        <v>11</v>
      </c>
      <c r="N94" s="6">
        <v>8</v>
      </c>
    </row>
    <row r="95" spans="1:14" x14ac:dyDescent="0.3">
      <c r="A95" s="29" t="s">
        <v>213</v>
      </c>
      <c r="B95" s="30" t="s">
        <v>214</v>
      </c>
      <c r="C95" s="5" t="s">
        <v>27</v>
      </c>
      <c r="D95" s="12" t="s">
        <v>206</v>
      </c>
      <c r="E95" s="5" t="s">
        <v>13</v>
      </c>
      <c r="F95" s="5" t="s">
        <v>79</v>
      </c>
      <c r="G95" s="29">
        <v>2009</v>
      </c>
      <c r="H95" s="29">
        <v>2014</v>
      </c>
      <c r="I95" s="26">
        <v>10</v>
      </c>
      <c r="J95" s="15">
        <v>759126631307</v>
      </c>
      <c r="K95" s="6">
        <v>31</v>
      </c>
      <c r="L95" s="6">
        <v>1</v>
      </c>
      <c r="M95" s="6">
        <v>11</v>
      </c>
      <c r="N95" s="6">
        <v>8</v>
      </c>
    </row>
    <row r="96" spans="1:14" x14ac:dyDescent="0.3">
      <c r="A96" s="29" t="s">
        <v>215</v>
      </c>
      <c r="B96" s="30" t="s">
        <v>216</v>
      </c>
      <c r="C96" s="5" t="s">
        <v>27</v>
      </c>
      <c r="D96" s="12" t="s">
        <v>206</v>
      </c>
      <c r="E96" s="5" t="s">
        <v>13</v>
      </c>
      <c r="F96" s="5" t="s">
        <v>79</v>
      </c>
      <c r="G96" s="29">
        <v>2009</v>
      </c>
      <c r="H96" s="29">
        <v>2014</v>
      </c>
      <c r="I96" s="26"/>
      <c r="J96" s="15"/>
      <c r="K96" s="6"/>
      <c r="L96" s="6"/>
      <c r="M96" s="6"/>
      <c r="N96" s="6"/>
    </row>
    <row r="97" spans="1:14" x14ac:dyDescent="0.3">
      <c r="A97" s="20" t="s">
        <v>217</v>
      </c>
      <c r="B97" s="20" t="s">
        <v>218</v>
      </c>
      <c r="C97" s="5" t="s">
        <v>27</v>
      </c>
      <c r="D97" s="12" t="s">
        <v>206</v>
      </c>
      <c r="E97" s="5" t="s">
        <v>13</v>
      </c>
      <c r="F97" s="5" t="s">
        <v>14</v>
      </c>
      <c r="G97" s="20">
        <v>2009</v>
      </c>
      <c r="H97" s="20">
        <v>2010</v>
      </c>
      <c r="I97" s="26">
        <v>6</v>
      </c>
      <c r="J97" s="16">
        <v>759126570897</v>
      </c>
      <c r="K97" s="5">
        <v>18</v>
      </c>
      <c r="L97" s="5">
        <v>8.5</v>
      </c>
      <c r="M97" s="5">
        <v>10</v>
      </c>
      <c r="N97" s="5">
        <f>138.4-135.8</f>
        <v>2.5999999999999943</v>
      </c>
    </row>
    <row r="98" spans="1:14" x14ac:dyDescent="0.3">
      <c r="A98" s="20" t="s">
        <v>219</v>
      </c>
      <c r="B98" s="20" t="s">
        <v>220</v>
      </c>
      <c r="C98" s="5" t="s">
        <v>27</v>
      </c>
      <c r="D98" s="12" t="s">
        <v>206</v>
      </c>
      <c r="E98" s="5" t="s">
        <v>13</v>
      </c>
      <c r="F98" s="5" t="s">
        <v>14</v>
      </c>
      <c r="G98" s="20">
        <v>2009</v>
      </c>
      <c r="H98" s="20">
        <v>2010</v>
      </c>
      <c r="I98" s="26">
        <v>6</v>
      </c>
      <c r="J98" s="16">
        <v>759126580896</v>
      </c>
      <c r="K98" s="5">
        <v>18</v>
      </c>
      <c r="L98" s="5">
        <v>8.5</v>
      </c>
      <c r="M98" s="5">
        <v>10</v>
      </c>
      <c r="N98" s="5">
        <f>138.4-135.8</f>
        <v>2.5999999999999943</v>
      </c>
    </row>
    <row r="99" spans="1:14" x14ac:dyDescent="0.3">
      <c r="A99" s="20" t="s">
        <v>221</v>
      </c>
      <c r="B99" s="20" t="s">
        <v>222</v>
      </c>
      <c r="C99" s="5" t="s">
        <v>27</v>
      </c>
      <c r="D99" s="12" t="s">
        <v>206</v>
      </c>
      <c r="E99" s="5" t="s">
        <v>13</v>
      </c>
      <c r="F99" s="5" t="s">
        <v>14</v>
      </c>
      <c r="G99" s="20">
        <v>2009</v>
      </c>
      <c r="H99" s="20">
        <v>2010</v>
      </c>
      <c r="I99" s="26"/>
      <c r="J99" s="16"/>
      <c r="K99" s="5"/>
      <c r="L99" s="5"/>
      <c r="M99" s="5"/>
      <c r="N99" s="5"/>
    </row>
    <row r="100" spans="1:14" x14ac:dyDescent="0.3">
      <c r="A100" s="25" t="s">
        <v>223</v>
      </c>
      <c r="B100" s="25" t="s">
        <v>224</v>
      </c>
      <c r="C100" s="10" t="s">
        <v>11</v>
      </c>
      <c r="D100" s="11" t="s">
        <v>112</v>
      </c>
      <c r="E100" s="5" t="s">
        <v>29</v>
      </c>
      <c r="F100" s="5" t="s">
        <v>104</v>
      </c>
      <c r="G100" s="25">
        <v>2009</v>
      </c>
      <c r="H100" s="25">
        <v>2011</v>
      </c>
      <c r="I100" s="26">
        <v>10</v>
      </c>
      <c r="J100" s="5"/>
      <c r="K100" s="5"/>
      <c r="L100" s="5"/>
      <c r="M100" s="5"/>
      <c r="N100" s="5"/>
    </row>
    <row r="101" spans="1:14" ht="34.200000000000003" x14ac:dyDescent="0.3">
      <c r="A101" s="25" t="s">
        <v>225</v>
      </c>
      <c r="B101" s="20" t="s">
        <v>226</v>
      </c>
      <c r="C101" s="3" t="s">
        <v>11</v>
      </c>
      <c r="D101" s="12" t="s">
        <v>227</v>
      </c>
      <c r="E101" s="5" t="s">
        <v>13</v>
      </c>
      <c r="F101" s="5" t="s">
        <v>79</v>
      </c>
      <c r="G101" s="25">
        <v>2010</v>
      </c>
      <c r="H101" s="25">
        <v>2012</v>
      </c>
      <c r="I101" s="26">
        <v>10</v>
      </c>
      <c r="J101" s="15">
        <v>759126633455</v>
      </c>
      <c r="K101" s="6">
        <v>33.25</v>
      </c>
      <c r="L101" s="6">
        <v>11.75</v>
      </c>
      <c r="M101" s="6">
        <v>10.25</v>
      </c>
      <c r="N101" s="6">
        <f>148.8-138.2</f>
        <v>10.600000000000023</v>
      </c>
    </row>
    <row r="102" spans="1:14" ht="34.200000000000003" x14ac:dyDescent="0.3">
      <c r="A102" s="25" t="s">
        <v>228</v>
      </c>
      <c r="B102" s="20" t="s">
        <v>229</v>
      </c>
      <c r="C102" s="3" t="s">
        <v>11</v>
      </c>
      <c r="D102" s="12" t="s">
        <v>227</v>
      </c>
      <c r="E102" s="5" t="s">
        <v>13</v>
      </c>
      <c r="F102" s="5" t="s">
        <v>79</v>
      </c>
      <c r="G102" s="25">
        <v>2010</v>
      </c>
      <c r="H102" s="25">
        <v>2012</v>
      </c>
      <c r="I102" s="26">
        <v>10</v>
      </c>
      <c r="J102" s="15">
        <v>759126648336</v>
      </c>
      <c r="K102" s="6">
        <v>33.25</v>
      </c>
      <c r="L102" s="6">
        <v>11.75</v>
      </c>
      <c r="M102" s="6">
        <v>10.25</v>
      </c>
      <c r="N102" s="6">
        <f>148.8-138.2</f>
        <v>10.600000000000023</v>
      </c>
    </row>
    <row r="103" spans="1:14" ht="34.200000000000003" x14ac:dyDescent="0.3">
      <c r="A103" s="25" t="s">
        <v>230</v>
      </c>
      <c r="B103" s="20" t="s">
        <v>231</v>
      </c>
      <c r="C103" s="3" t="s">
        <v>11</v>
      </c>
      <c r="D103" s="12" t="s">
        <v>227</v>
      </c>
      <c r="E103" s="5" t="s">
        <v>13</v>
      </c>
      <c r="F103" s="5" t="s">
        <v>79</v>
      </c>
      <c r="G103" s="25">
        <v>2010</v>
      </c>
      <c r="H103" s="25">
        <v>2012</v>
      </c>
      <c r="I103" s="26"/>
      <c r="J103" s="15"/>
      <c r="K103" s="6"/>
      <c r="L103" s="6"/>
      <c r="M103" s="6"/>
      <c r="N103" s="6"/>
    </row>
    <row r="104" spans="1:14" x14ac:dyDescent="0.3">
      <c r="A104" s="25" t="s">
        <v>232</v>
      </c>
      <c r="B104" s="25" t="s">
        <v>233</v>
      </c>
      <c r="C104" s="10" t="s">
        <v>11</v>
      </c>
      <c r="D104" s="11" t="s">
        <v>52</v>
      </c>
      <c r="E104" s="5" t="s">
        <v>29</v>
      </c>
      <c r="F104" s="5" t="s">
        <v>104</v>
      </c>
      <c r="G104" s="25">
        <v>2010</v>
      </c>
      <c r="H104" s="25">
        <v>2011</v>
      </c>
      <c r="I104" s="26">
        <v>10</v>
      </c>
      <c r="J104" s="5"/>
      <c r="K104" s="5"/>
      <c r="L104" s="5"/>
      <c r="M104" s="5"/>
      <c r="N104" s="5"/>
    </row>
    <row r="105" spans="1:14" x14ac:dyDescent="0.3">
      <c r="A105" s="25" t="s">
        <v>234</v>
      </c>
      <c r="B105" s="20" t="s">
        <v>235</v>
      </c>
      <c r="C105" s="5" t="s">
        <v>11</v>
      </c>
      <c r="D105" s="4" t="s">
        <v>12</v>
      </c>
      <c r="E105" s="5" t="s">
        <v>29</v>
      </c>
      <c r="F105" s="5" t="s">
        <v>104</v>
      </c>
      <c r="G105" s="26">
        <v>2011</v>
      </c>
      <c r="H105" s="26">
        <v>2011</v>
      </c>
      <c r="I105" s="26">
        <v>10</v>
      </c>
      <c r="J105" s="5"/>
      <c r="K105" s="5"/>
      <c r="L105" s="5"/>
      <c r="M105" s="5"/>
      <c r="N105" s="5"/>
    </row>
    <row r="106" spans="1:14" x14ac:dyDescent="0.3">
      <c r="A106" s="28" t="s">
        <v>236</v>
      </c>
      <c r="B106" s="22" t="s">
        <v>237</v>
      </c>
      <c r="C106" s="6" t="s">
        <v>11</v>
      </c>
      <c r="D106" s="13" t="s">
        <v>238</v>
      </c>
      <c r="E106" s="5" t="s">
        <v>13</v>
      </c>
      <c r="F106" s="5" t="s">
        <v>72</v>
      </c>
      <c r="G106" s="28">
        <v>2012</v>
      </c>
      <c r="H106" s="28">
        <v>2014</v>
      </c>
      <c r="I106" s="26">
        <v>8</v>
      </c>
      <c r="J106" s="15">
        <v>759126716073</v>
      </c>
      <c r="K106" s="5">
        <v>5.75</v>
      </c>
      <c r="L106" s="5">
        <v>5</v>
      </c>
      <c r="M106" s="5">
        <v>4.25</v>
      </c>
      <c r="N106" s="5">
        <v>1</v>
      </c>
    </row>
    <row r="107" spans="1:14" x14ac:dyDescent="0.3">
      <c r="A107" s="28" t="s">
        <v>239</v>
      </c>
      <c r="B107" s="22" t="s">
        <v>240</v>
      </c>
      <c r="C107" s="6" t="s">
        <v>11</v>
      </c>
      <c r="D107" s="9" t="s">
        <v>112</v>
      </c>
      <c r="E107" s="5" t="s">
        <v>13</v>
      </c>
      <c r="F107" s="5" t="s">
        <v>14</v>
      </c>
      <c r="G107" s="28">
        <v>2012</v>
      </c>
      <c r="H107" s="28">
        <v>2012</v>
      </c>
      <c r="I107" s="26">
        <v>5</v>
      </c>
      <c r="J107" s="16">
        <v>759126581817</v>
      </c>
      <c r="K107" s="5">
        <v>21.5</v>
      </c>
      <c r="L107" s="5">
        <v>12.25</v>
      </c>
      <c r="M107" s="5">
        <v>9.5</v>
      </c>
      <c r="N107" s="5">
        <f>139.6-135.8</f>
        <v>3.7999999999999829</v>
      </c>
    </row>
    <row r="108" spans="1:14" x14ac:dyDescent="0.3">
      <c r="A108" s="28" t="s">
        <v>241</v>
      </c>
      <c r="B108" s="22" t="s">
        <v>242</v>
      </c>
      <c r="C108" s="6" t="s">
        <v>11</v>
      </c>
      <c r="D108" s="9" t="s">
        <v>112</v>
      </c>
      <c r="E108" s="5" t="s">
        <v>13</v>
      </c>
      <c r="F108" s="5" t="s">
        <v>14</v>
      </c>
      <c r="G108" s="28">
        <v>2012</v>
      </c>
      <c r="H108" s="28">
        <v>2012</v>
      </c>
      <c r="I108" s="26">
        <v>5</v>
      </c>
      <c r="J108" s="16">
        <v>759126583293</v>
      </c>
      <c r="K108" s="5">
        <v>21.5</v>
      </c>
      <c r="L108" s="5">
        <v>12.25</v>
      </c>
      <c r="M108" s="5">
        <v>9.5</v>
      </c>
      <c r="N108" s="5">
        <f>139.6-135.8</f>
        <v>3.7999999999999829</v>
      </c>
    </row>
    <row r="109" spans="1:14" x14ac:dyDescent="0.3">
      <c r="A109" s="28" t="s">
        <v>243</v>
      </c>
      <c r="B109" s="22" t="s">
        <v>244</v>
      </c>
      <c r="C109" s="6" t="s">
        <v>11</v>
      </c>
      <c r="D109" s="9" t="s">
        <v>112</v>
      </c>
      <c r="E109" s="5" t="s">
        <v>13</v>
      </c>
      <c r="F109" s="5" t="s">
        <v>14</v>
      </c>
      <c r="G109" s="28">
        <v>2012</v>
      </c>
      <c r="H109" s="28">
        <v>2012</v>
      </c>
      <c r="I109" s="26"/>
      <c r="J109" s="16"/>
      <c r="K109" s="5"/>
      <c r="L109" s="5"/>
      <c r="M109" s="5"/>
      <c r="N109" s="5"/>
    </row>
    <row r="110" spans="1:14" x14ac:dyDescent="0.3">
      <c r="A110" s="27" t="s">
        <v>245</v>
      </c>
      <c r="B110" s="22" t="s">
        <v>56</v>
      </c>
      <c r="C110" s="7" t="s">
        <v>11</v>
      </c>
      <c r="D110" s="8" t="s">
        <v>52</v>
      </c>
      <c r="E110" s="6" t="s">
        <v>29</v>
      </c>
      <c r="F110" s="6" t="s">
        <v>57</v>
      </c>
      <c r="G110" s="27">
        <v>2012</v>
      </c>
      <c r="H110" s="27">
        <v>2016</v>
      </c>
      <c r="I110" s="26">
        <v>4</v>
      </c>
      <c r="J110" s="5"/>
      <c r="K110" s="5"/>
      <c r="L110" s="5"/>
      <c r="M110" s="5"/>
      <c r="N110" s="5"/>
    </row>
    <row r="111" spans="1:14" x14ac:dyDescent="0.3">
      <c r="A111" s="27" t="s">
        <v>246</v>
      </c>
      <c r="B111" s="22" t="s">
        <v>247</v>
      </c>
      <c r="C111" s="7" t="s">
        <v>11</v>
      </c>
      <c r="D111" s="8" t="s">
        <v>52</v>
      </c>
      <c r="E111" s="6" t="s">
        <v>29</v>
      </c>
      <c r="F111" s="6" t="s">
        <v>57</v>
      </c>
      <c r="G111" s="27">
        <v>2012</v>
      </c>
      <c r="H111" s="27">
        <v>2016</v>
      </c>
      <c r="I111" s="26">
        <v>4</v>
      </c>
      <c r="J111" s="5"/>
      <c r="K111" s="5"/>
      <c r="L111" s="5"/>
      <c r="M111" s="5"/>
      <c r="N111" s="5"/>
    </row>
    <row r="112" spans="1:14" x14ac:dyDescent="0.3">
      <c r="A112" s="27" t="s">
        <v>248</v>
      </c>
      <c r="B112" s="22" t="s">
        <v>61</v>
      </c>
      <c r="C112" s="7" t="s">
        <v>11</v>
      </c>
      <c r="D112" s="8" t="s">
        <v>52</v>
      </c>
      <c r="E112" s="6" t="s">
        <v>29</v>
      </c>
      <c r="F112" s="6" t="s">
        <v>57</v>
      </c>
      <c r="G112" s="27">
        <v>2012</v>
      </c>
      <c r="H112" s="27">
        <v>2016</v>
      </c>
      <c r="I112" s="26"/>
      <c r="J112" s="5"/>
      <c r="K112" s="5"/>
      <c r="L112" s="5"/>
      <c r="M112" s="5"/>
      <c r="N112" s="5"/>
    </row>
    <row r="113" spans="1:14" x14ac:dyDescent="0.3">
      <c r="A113" s="27" t="s">
        <v>249</v>
      </c>
      <c r="B113" s="22" t="s">
        <v>250</v>
      </c>
      <c r="C113" s="7" t="s">
        <v>11</v>
      </c>
      <c r="D113" s="8" t="s">
        <v>52</v>
      </c>
      <c r="E113" s="6" t="s">
        <v>29</v>
      </c>
      <c r="F113" s="6" t="s">
        <v>57</v>
      </c>
      <c r="G113" s="27">
        <v>2012</v>
      </c>
      <c r="H113" s="27">
        <v>2016</v>
      </c>
      <c r="I113" s="26">
        <v>10</v>
      </c>
      <c r="J113" s="5"/>
      <c r="K113" s="5"/>
      <c r="L113" s="5"/>
      <c r="M113" s="5"/>
      <c r="N113" s="5"/>
    </row>
    <row r="114" spans="1:14" x14ac:dyDescent="0.3">
      <c r="A114" s="28" t="s">
        <v>251</v>
      </c>
      <c r="B114" s="22" t="s">
        <v>252</v>
      </c>
      <c r="C114" s="6" t="s">
        <v>11</v>
      </c>
      <c r="D114" s="8" t="s">
        <v>52</v>
      </c>
      <c r="E114" s="5" t="s">
        <v>13</v>
      </c>
      <c r="F114" s="5" t="s">
        <v>14</v>
      </c>
      <c r="G114" s="28">
        <v>2012</v>
      </c>
      <c r="H114" s="28">
        <v>2014</v>
      </c>
      <c r="I114" s="26">
        <v>4</v>
      </c>
      <c r="J114" s="16">
        <v>759126583606</v>
      </c>
      <c r="K114" s="5">
        <v>16.5</v>
      </c>
      <c r="L114" s="5">
        <v>13.75</v>
      </c>
      <c r="M114" s="5">
        <v>7.5</v>
      </c>
      <c r="N114" s="5">
        <f>139.2-135.8</f>
        <v>3.3999999999999773</v>
      </c>
    </row>
    <row r="115" spans="1:14" x14ac:dyDescent="0.3">
      <c r="A115" s="28" t="s">
        <v>253</v>
      </c>
      <c r="B115" s="22" t="s">
        <v>254</v>
      </c>
      <c r="C115" s="6" t="s">
        <v>11</v>
      </c>
      <c r="D115" s="8" t="s">
        <v>52</v>
      </c>
      <c r="E115" s="5" t="s">
        <v>13</v>
      </c>
      <c r="F115" s="5" t="s">
        <v>14</v>
      </c>
      <c r="G115" s="28">
        <v>2012</v>
      </c>
      <c r="H115" s="28">
        <v>2014</v>
      </c>
      <c r="I115" s="26">
        <v>4</v>
      </c>
      <c r="J115" s="16">
        <v>759126592820</v>
      </c>
      <c r="K115" s="5">
        <v>16.5</v>
      </c>
      <c r="L115" s="5">
        <v>13.75</v>
      </c>
      <c r="M115" s="5">
        <v>7.5</v>
      </c>
      <c r="N115" s="5">
        <f>139.2-135.8</f>
        <v>3.3999999999999773</v>
      </c>
    </row>
    <row r="116" spans="1:14" x14ac:dyDescent="0.3">
      <c r="A116" s="28" t="s">
        <v>255</v>
      </c>
      <c r="B116" s="22" t="s">
        <v>256</v>
      </c>
      <c r="C116" s="6" t="s">
        <v>11</v>
      </c>
      <c r="D116" s="8" t="s">
        <v>52</v>
      </c>
      <c r="E116" s="5" t="s">
        <v>13</v>
      </c>
      <c r="F116" s="5" t="s">
        <v>14</v>
      </c>
      <c r="G116" s="28">
        <v>2012</v>
      </c>
      <c r="H116" s="28">
        <v>2014</v>
      </c>
      <c r="I116" s="26"/>
      <c r="J116" s="16"/>
      <c r="K116" s="5"/>
      <c r="L116" s="5"/>
      <c r="M116" s="5"/>
      <c r="N116" s="5"/>
    </row>
    <row r="117" spans="1:14" x14ac:dyDescent="0.3">
      <c r="A117" s="25" t="s">
        <v>257</v>
      </c>
      <c r="B117" s="25" t="s">
        <v>258</v>
      </c>
      <c r="C117" s="10" t="s">
        <v>11</v>
      </c>
      <c r="D117" s="11" t="s">
        <v>112</v>
      </c>
      <c r="E117" s="5" t="s">
        <v>29</v>
      </c>
      <c r="F117" s="5" t="s">
        <v>104</v>
      </c>
      <c r="G117" s="25">
        <v>2012</v>
      </c>
      <c r="H117" s="25">
        <v>2012</v>
      </c>
      <c r="I117" s="26">
        <v>10</v>
      </c>
      <c r="J117" s="5"/>
      <c r="K117" s="5"/>
      <c r="L117" s="5"/>
      <c r="M117" s="5"/>
      <c r="N117" s="5"/>
    </row>
    <row r="118" spans="1:14" x14ac:dyDescent="0.3">
      <c r="A118" s="25" t="s">
        <v>259</v>
      </c>
      <c r="B118" s="25" t="s">
        <v>260</v>
      </c>
      <c r="C118" s="10" t="s">
        <v>11</v>
      </c>
      <c r="D118" s="11" t="s">
        <v>112</v>
      </c>
      <c r="E118" s="5" t="s">
        <v>29</v>
      </c>
      <c r="F118" s="5" t="s">
        <v>104</v>
      </c>
      <c r="G118" s="25">
        <v>2012</v>
      </c>
      <c r="H118" s="25">
        <v>2012</v>
      </c>
      <c r="I118" s="26">
        <v>10</v>
      </c>
      <c r="J118" s="5"/>
      <c r="K118" s="5"/>
      <c r="L118" s="5"/>
      <c r="M118" s="5"/>
      <c r="N118" s="5"/>
    </row>
    <row r="119" spans="1:14" x14ac:dyDescent="0.3">
      <c r="A119" s="25" t="s">
        <v>261</v>
      </c>
      <c r="B119" s="25" t="s">
        <v>262</v>
      </c>
      <c r="C119" s="10" t="s">
        <v>11</v>
      </c>
      <c r="D119" s="11" t="s">
        <v>112</v>
      </c>
      <c r="E119" s="5" t="s">
        <v>29</v>
      </c>
      <c r="F119" s="5" t="s">
        <v>104</v>
      </c>
      <c r="G119" s="25">
        <v>2012</v>
      </c>
      <c r="H119" s="25">
        <v>2012</v>
      </c>
      <c r="I119" s="26">
        <v>10</v>
      </c>
      <c r="J119" s="5"/>
      <c r="K119" s="5"/>
      <c r="L119" s="5"/>
      <c r="M119" s="5"/>
      <c r="N119" s="5"/>
    </row>
    <row r="120" spans="1:14" x14ac:dyDescent="0.3">
      <c r="A120" s="25" t="s">
        <v>263</v>
      </c>
      <c r="B120" s="25" t="s">
        <v>264</v>
      </c>
      <c r="C120" s="10" t="s">
        <v>11</v>
      </c>
      <c r="D120" s="11" t="s">
        <v>52</v>
      </c>
      <c r="E120" s="5" t="s">
        <v>29</v>
      </c>
      <c r="F120" s="5" t="s">
        <v>104</v>
      </c>
      <c r="G120" s="25">
        <v>2012</v>
      </c>
      <c r="H120" s="25">
        <v>2014</v>
      </c>
      <c r="I120" s="26">
        <v>10</v>
      </c>
      <c r="J120" s="5"/>
      <c r="K120" s="5"/>
      <c r="L120" s="5"/>
      <c r="M120" s="5"/>
      <c r="N120" s="5"/>
    </row>
    <row r="121" spans="1:14" x14ac:dyDescent="0.3">
      <c r="A121" s="20" t="s">
        <v>265</v>
      </c>
      <c r="B121" s="20" t="s">
        <v>266</v>
      </c>
      <c r="C121" s="5" t="s">
        <v>11</v>
      </c>
      <c r="D121" s="4" t="s">
        <v>12</v>
      </c>
      <c r="E121" s="5" t="s">
        <v>13</v>
      </c>
      <c r="F121" s="5" t="s">
        <v>79</v>
      </c>
      <c r="G121" s="20">
        <v>2013</v>
      </c>
      <c r="H121" s="20">
        <v>2015</v>
      </c>
      <c r="I121" s="26">
        <v>12</v>
      </c>
      <c r="J121" s="15">
        <v>759126506780</v>
      </c>
      <c r="K121" s="6">
        <v>31</v>
      </c>
      <c r="L121" s="6">
        <v>14</v>
      </c>
      <c r="M121" s="6">
        <v>14</v>
      </c>
      <c r="N121" s="6">
        <v>10</v>
      </c>
    </row>
    <row r="122" spans="1:14" x14ac:dyDescent="0.3">
      <c r="A122" s="20" t="s">
        <v>267</v>
      </c>
      <c r="B122" s="20" t="s">
        <v>266</v>
      </c>
      <c r="C122" s="5" t="s">
        <v>11</v>
      </c>
      <c r="D122" s="4" t="s">
        <v>12</v>
      </c>
      <c r="E122" s="5" t="s">
        <v>13</v>
      </c>
      <c r="F122" s="5" t="s">
        <v>79</v>
      </c>
      <c r="G122" s="20">
        <v>2013</v>
      </c>
      <c r="H122" s="20">
        <v>2015</v>
      </c>
      <c r="I122" s="26">
        <v>12</v>
      </c>
      <c r="J122" s="15">
        <v>759126661687</v>
      </c>
      <c r="K122" s="6">
        <v>31</v>
      </c>
      <c r="L122" s="6">
        <v>14</v>
      </c>
      <c r="M122" s="6">
        <v>14</v>
      </c>
      <c r="N122" s="6">
        <v>10</v>
      </c>
    </row>
    <row r="123" spans="1:14" x14ac:dyDescent="0.3">
      <c r="A123" s="20" t="s">
        <v>268</v>
      </c>
      <c r="B123" s="20" t="s">
        <v>269</v>
      </c>
      <c r="C123" s="5" t="s">
        <v>11</v>
      </c>
      <c r="D123" s="4" t="s">
        <v>12</v>
      </c>
      <c r="E123" s="5" t="s">
        <v>13</v>
      </c>
      <c r="F123" s="5" t="s">
        <v>79</v>
      </c>
      <c r="G123" s="20">
        <v>2013</v>
      </c>
      <c r="H123" s="20">
        <v>2015</v>
      </c>
      <c r="I123" s="26">
        <v>12</v>
      </c>
      <c r="J123" s="15">
        <v>759126550349</v>
      </c>
      <c r="K123" s="6">
        <v>31</v>
      </c>
      <c r="L123" s="6">
        <v>14</v>
      </c>
      <c r="M123" s="6">
        <v>14</v>
      </c>
      <c r="N123" s="6">
        <v>10</v>
      </c>
    </row>
    <row r="124" spans="1:14" x14ac:dyDescent="0.3">
      <c r="A124" s="20" t="s">
        <v>270</v>
      </c>
      <c r="B124" s="20" t="s">
        <v>271</v>
      </c>
      <c r="C124" s="5" t="s">
        <v>11</v>
      </c>
      <c r="D124" s="4" t="s">
        <v>12</v>
      </c>
      <c r="E124" s="5" t="s">
        <v>13</v>
      </c>
      <c r="F124" s="5" t="s">
        <v>79</v>
      </c>
      <c r="G124" s="20">
        <v>2013</v>
      </c>
      <c r="H124" s="20">
        <v>2015</v>
      </c>
      <c r="I124" s="26"/>
      <c r="J124" s="15"/>
      <c r="K124" s="6"/>
      <c r="L124" s="6"/>
      <c r="M124" s="6"/>
      <c r="N124" s="6"/>
    </row>
    <row r="125" spans="1:14" x14ac:dyDescent="0.3">
      <c r="A125" s="28" t="s">
        <v>272</v>
      </c>
      <c r="B125" s="22" t="s">
        <v>273</v>
      </c>
      <c r="C125" s="6" t="s">
        <v>11</v>
      </c>
      <c r="D125" s="9" t="s">
        <v>112</v>
      </c>
      <c r="E125" s="6" t="s">
        <v>13</v>
      </c>
      <c r="F125" s="6" t="s">
        <v>79</v>
      </c>
      <c r="G125" s="28">
        <v>2016</v>
      </c>
      <c r="H125" s="28">
        <v>2018</v>
      </c>
      <c r="I125" s="26">
        <v>8</v>
      </c>
      <c r="J125" s="15">
        <v>759126517335</v>
      </c>
      <c r="K125" s="6">
        <v>26.25</v>
      </c>
      <c r="L125" s="6">
        <v>13.25</v>
      </c>
      <c r="M125" s="6">
        <v>10.75</v>
      </c>
      <c r="N125" s="6">
        <v>8</v>
      </c>
    </row>
    <row r="126" spans="1:14" x14ac:dyDescent="0.3">
      <c r="A126" s="28" t="s">
        <v>274</v>
      </c>
      <c r="B126" s="22" t="s">
        <v>273</v>
      </c>
      <c r="C126" s="6" t="s">
        <v>11</v>
      </c>
      <c r="D126" s="9" t="s">
        <v>112</v>
      </c>
      <c r="E126" s="6" t="s">
        <v>13</v>
      </c>
      <c r="F126" s="6" t="s">
        <v>79</v>
      </c>
      <c r="G126" s="28">
        <v>2016</v>
      </c>
      <c r="H126" s="28">
        <v>2018</v>
      </c>
      <c r="I126" s="26">
        <v>7</v>
      </c>
      <c r="J126" s="15">
        <v>759126662585</v>
      </c>
      <c r="K126" s="6">
        <v>26.25</v>
      </c>
      <c r="L126" s="6">
        <v>13.25</v>
      </c>
      <c r="M126" s="6">
        <v>10.75</v>
      </c>
      <c r="N126" s="6">
        <v>8</v>
      </c>
    </row>
    <row r="127" spans="1:14" x14ac:dyDescent="0.3">
      <c r="A127" s="28" t="s">
        <v>275</v>
      </c>
      <c r="B127" s="22" t="s">
        <v>276</v>
      </c>
      <c r="C127" s="6" t="s">
        <v>11</v>
      </c>
      <c r="D127" s="9" t="s">
        <v>112</v>
      </c>
      <c r="E127" s="6" t="s">
        <v>13</v>
      </c>
      <c r="F127" s="6" t="s">
        <v>79</v>
      </c>
      <c r="G127" s="28">
        <v>2016</v>
      </c>
      <c r="H127" s="28">
        <v>2018</v>
      </c>
      <c r="I127" s="26">
        <v>8</v>
      </c>
      <c r="J127" s="15">
        <v>759126517465</v>
      </c>
      <c r="K127" s="6">
        <v>26.25</v>
      </c>
      <c r="L127" s="6">
        <v>13.25</v>
      </c>
      <c r="M127" s="6">
        <v>10.75</v>
      </c>
      <c r="N127" s="6">
        <v>8</v>
      </c>
    </row>
    <row r="128" spans="1:14" x14ac:dyDescent="0.3">
      <c r="A128" s="28" t="s">
        <v>277</v>
      </c>
      <c r="B128" s="22" t="s">
        <v>276</v>
      </c>
      <c r="C128" s="6" t="s">
        <v>11</v>
      </c>
      <c r="D128" s="9" t="s">
        <v>112</v>
      </c>
      <c r="E128" s="6" t="s">
        <v>13</v>
      </c>
      <c r="F128" s="6" t="s">
        <v>79</v>
      </c>
      <c r="G128" s="28">
        <v>2016</v>
      </c>
      <c r="H128" s="28">
        <v>2018</v>
      </c>
      <c r="I128" s="26">
        <v>7</v>
      </c>
      <c r="J128" s="15">
        <v>759126664404</v>
      </c>
      <c r="K128" s="6">
        <v>26.25</v>
      </c>
      <c r="L128" s="6">
        <v>13.25</v>
      </c>
      <c r="M128" s="6">
        <v>10.75</v>
      </c>
      <c r="N128" s="6">
        <v>8</v>
      </c>
    </row>
    <row r="129" spans="1:14" x14ac:dyDescent="0.3">
      <c r="A129" s="28" t="s">
        <v>278</v>
      </c>
      <c r="B129" s="22" t="s">
        <v>279</v>
      </c>
      <c r="C129" s="6" t="s">
        <v>11</v>
      </c>
      <c r="D129" s="9" t="s">
        <v>112</v>
      </c>
      <c r="E129" s="6" t="s">
        <v>13</v>
      </c>
      <c r="F129" s="6" t="s">
        <v>79</v>
      </c>
      <c r="G129" s="28">
        <v>2016</v>
      </c>
      <c r="H129" s="28">
        <v>2018</v>
      </c>
      <c r="I129" s="26"/>
      <c r="J129" s="15"/>
      <c r="K129" s="6"/>
      <c r="L129" s="6"/>
      <c r="M129" s="6"/>
      <c r="N129" s="6"/>
    </row>
    <row r="130" spans="1:14" x14ac:dyDescent="0.3">
      <c r="A130" s="25" t="s">
        <v>280</v>
      </c>
      <c r="B130" s="20" t="s">
        <v>281</v>
      </c>
      <c r="C130" s="5" t="s">
        <v>11</v>
      </c>
      <c r="D130" s="4" t="s">
        <v>12</v>
      </c>
      <c r="E130" s="5" t="s">
        <v>13</v>
      </c>
      <c r="F130" s="5" t="s">
        <v>79</v>
      </c>
      <c r="G130" s="25">
        <v>2016</v>
      </c>
      <c r="H130" s="25">
        <v>2018</v>
      </c>
      <c r="I130" s="26">
        <v>10</v>
      </c>
      <c r="J130" s="15">
        <v>759126651206</v>
      </c>
      <c r="K130" s="6">
        <v>31</v>
      </c>
      <c r="L130" s="6">
        <v>14</v>
      </c>
      <c r="M130" s="6">
        <v>14</v>
      </c>
      <c r="N130" s="6">
        <v>10</v>
      </c>
    </row>
    <row r="131" spans="1:14" x14ac:dyDescent="0.3">
      <c r="A131" s="25" t="s">
        <v>282</v>
      </c>
      <c r="B131" s="20" t="s">
        <v>283</v>
      </c>
      <c r="C131" s="5" t="s">
        <v>11</v>
      </c>
      <c r="D131" s="4" t="s">
        <v>12</v>
      </c>
      <c r="E131" s="5" t="s">
        <v>13</v>
      </c>
      <c r="F131" s="5" t="s">
        <v>79</v>
      </c>
      <c r="G131" s="25">
        <v>2016</v>
      </c>
      <c r="H131" s="25">
        <v>2018</v>
      </c>
      <c r="I131" s="26">
        <v>10</v>
      </c>
      <c r="J131" s="15">
        <v>759126661342</v>
      </c>
      <c r="K131" s="6">
        <v>31</v>
      </c>
      <c r="L131" s="6">
        <v>14</v>
      </c>
      <c r="M131" s="6">
        <v>14</v>
      </c>
      <c r="N131" s="6">
        <v>10</v>
      </c>
    </row>
    <row r="132" spans="1:14" x14ac:dyDescent="0.3">
      <c r="A132" s="25" t="s">
        <v>284</v>
      </c>
      <c r="B132" s="20" t="s">
        <v>285</v>
      </c>
      <c r="C132" s="5" t="s">
        <v>11</v>
      </c>
      <c r="D132" s="4" t="s">
        <v>12</v>
      </c>
      <c r="E132" s="5" t="s">
        <v>13</v>
      </c>
      <c r="F132" s="5" t="s">
        <v>79</v>
      </c>
      <c r="G132" s="25">
        <v>2016</v>
      </c>
      <c r="H132" s="25">
        <v>2018</v>
      </c>
      <c r="I132" s="26"/>
      <c r="J132" s="15"/>
      <c r="K132" s="6"/>
      <c r="L132" s="6"/>
      <c r="M132" s="6"/>
      <c r="N132" s="6"/>
    </row>
    <row r="133" spans="1:14" x14ac:dyDescent="0.3">
      <c r="A133" s="28" t="s">
        <v>286</v>
      </c>
      <c r="B133" s="31" t="s">
        <v>287</v>
      </c>
      <c r="C133" s="14" t="s">
        <v>11</v>
      </c>
      <c r="D133" s="14" t="s">
        <v>288</v>
      </c>
      <c r="E133" s="14" t="s">
        <v>289</v>
      </c>
      <c r="F133" s="3" t="s">
        <v>14</v>
      </c>
      <c r="G133" s="20">
        <v>2007</v>
      </c>
      <c r="H133" s="20">
        <v>2008</v>
      </c>
      <c r="I133" s="20">
        <v>4</v>
      </c>
      <c r="J133" s="15"/>
      <c r="K133" s="6"/>
      <c r="L133" s="6"/>
      <c r="M133" s="6"/>
      <c r="N133" s="6"/>
    </row>
    <row r="134" spans="1:14" x14ac:dyDescent="0.3">
      <c r="A134" s="28" t="s">
        <v>290</v>
      </c>
      <c r="B134" s="31" t="s">
        <v>291</v>
      </c>
      <c r="C134" s="14" t="s">
        <v>11</v>
      </c>
      <c r="D134" s="14" t="s">
        <v>288</v>
      </c>
      <c r="E134" s="14" t="s">
        <v>289</v>
      </c>
      <c r="F134" s="3" t="s">
        <v>14</v>
      </c>
      <c r="G134" s="20">
        <v>2007</v>
      </c>
      <c r="H134" s="20">
        <v>2008</v>
      </c>
      <c r="I134" s="20">
        <v>4</v>
      </c>
      <c r="J134" s="15"/>
      <c r="K134" s="6"/>
      <c r="L134" s="6"/>
      <c r="M134" s="6"/>
      <c r="N1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kondapi</dc:creator>
  <cp:lastModifiedBy>Sowmya kondapi</cp:lastModifiedBy>
  <dcterms:created xsi:type="dcterms:W3CDTF">2026-01-05T02:27:35Z</dcterms:created>
  <dcterms:modified xsi:type="dcterms:W3CDTF">2026-01-05T02:31:57Z</dcterms:modified>
</cp:coreProperties>
</file>